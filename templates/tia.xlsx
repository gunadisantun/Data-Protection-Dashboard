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antu\OneDrive\Desktop\ALTO\Kebijakan Pelindungan Data Pribadi\"/>
    </mc:Choice>
  </mc:AlternateContent>
  <xr:revisionPtr revIDLastSave="0" documentId="8_{3F0C41EE-F930-41DB-A7B1-A61FA1CAB2CE}" xr6:coauthVersionLast="47" xr6:coauthVersionMax="47" xr10:uidLastSave="{00000000-0000-0000-0000-000000000000}"/>
  <bookViews>
    <workbookView xWindow="-108" yWindow="-108" windowWidth="23256" windowHeight="12456" xr2:uid="{00000000-000D-0000-FFFF-FFFF00000000}"/>
  </bookViews>
  <sheets>
    <sheet name="1. Identifikasi" sheetId="2" r:id="rId1"/>
    <sheet name="LIST ALTO" sheetId="10" state="hidden" r:id="rId2"/>
    <sheet name="Country List" sheetId="9" state="hidden" r:id="rId3"/>
    <sheet name="Country List Updated March 2026" sheetId="11" state="hidden" r:id="rId4"/>
  </sheets>
  <definedNames>
    <definedName name="_xlnm._FilterDatabase" localSheetId="0" hidden="1">'1. Identifikasi'!$B$12:$H$30</definedName>
    <definedName name="_xlnm._FilterDatabase" localSheetId="2" hidden="1">'Country List'!$A$1:$D$1</definedName>
    <definedName name="inst_adapt_msg_1">#REF!</definedName>
    <definedName name="inst_adapt_msg_2">#REF!</definedName>
    <definedName name="inst_adapt_msg_3">#REF!</definedName>
    <definedName name="inst_adapt_title_1">#REF!</definedName>
    <definedName name="inst_add_msg_1">#REF!</definedName>
    <definedName name="inst_add_msg_2">#REF!</definedName>
    <definedName name="inst_add_msg_3">#REF!</definedName>
    <definedName name="inst_add_title_1">#REF!</definedName>
    <definedName name="inst_app_title_1">#REF!</definedName>
    <definedName name="inst_appearance_msg_1">#REF!</definedName>
    <definedName name="inst_genset_msg_1">#REF!</definedName>
    <definedName name="inst_genset_msg_2">#REF!</definedName>
    <definedName name="inst_genset_msg_3">#REF!</definedName>
    <definedName name="inst_genset_msg_4">#REF!</definedName>
    <definedName name="inst_genset_msg_5">#REF!</definedName>
    <definedName name="inst_genset_msg_6">#REF!</definedName>
    <definedName name="inst_genset_msg_7">#REF!</definedName>
    <definedName name="inst_genset_msg_8">#REF!</definedName>
    <definedName name="inst_genset_title_1">#REF!</definedName>
    <definedName name="inst_geo_msg_1">#REF!</definedName>
    <definedName name="inst_geo_msg_10">#REF!</definedName>
    <definedName name="inst_geo_msg_11">#REF!</definedName>
    <definedName name="inst_geo_msg_12">#REF!</definedName>
    <definedName name="inst_geo_msg_13">#REF!</definedName>
    <definedName name="inst_geo_msg_14">#REF!</definedName>
    <definedName name="inst_geo_msg_15">#REF!</definedName>
    <definedName name="inst_geo_msg_16">#REF!</definedName>
    <definedName name="inst_geo_msg_17">#REF!</definedName>
    <definedName name="inst_geo_msg_2">#REF!</definedName>
    <definedName name="inst_geo_msg_3">#REF!</definedName>
    <definedName name="inst_geo_msg_4">#REF!</definedName>
    <definedName name="inst_geo_msg_5">#REF!</definedName>
    <definedName name="inst_geo_msg_6">#REF!</definedName>
    <definedName name="inst_geo_msg_7">#REF!</definedName>
    <definedName name="inst_geo_msg_8">#REF!</definedName>
    <definedName name="inst_geo_msg_9">#REF!</definedName>
    <definedName name="inst_geo_title_1">#REF!</definedName>
    <definedName name="inst_get_msg_1">#REF!</definedName>
    <definedName name="inst_get_msg_2">#REF!</definedName>
    <definedName name="inst_get_msg_3">#REF!</definedName>
    <definedName name="inst_get_msg_4">#REF!</definedName>
    <definedName name="inst_get_msg_5">#REF!</definedName>
    <definedName name="inst_get_title_1">#REF!</definedName>
    <definedName name="inst_lang_msg_1">#REF!</definedName>
    <definedName name="inst_lang_title_1">#REF!</definedName>
    <definedName name="inst_opt_msg_1">#REF!</definedName>
    <definedName name="inst_opt_msg_2">#REF!</definedName>
    <definedName name="inst_opt_msg_3">#REF!</definedName>
    <definedName name="inst_opt_title_1">#REF!</definedName>
    <definedName name="inst_prep_msg_1">#REF!</definedName>
    <definedName name="inst_prep_msg_2">#REF!</definedName>
    <definedName name="inst_prep_msg_3">#REF!</definedName>
    <definedName name="inst_prep_msg_4">#REF!</definedName>
    <definedName name="inst_prep_msg_5">#REF!</definedName>
    <definedName name="inst_prep_msg_6">#REF!</definedName>
    <definedName name="inst_prep_title_1">#REF!</definedName>
    <definedName name="inst_test_msg_1">#REF!</definedName>
    <definedName name="inst_test_msg_2">#REF!</definedName>
    <definedName name="inst_test_title_1">#REF!</definedName>
    <definedName name="intro_aim_msg1">#REF!</definedName>
    <definedName name="intro_aim_msg2">#REF!</definedName>
    <definedName name="intro_aim_msg3">#REF!</definedName>
    <definedName name="intro_aim_sectiontitle">#REF!</definedName>
    <definedName name="intro_maintitle">#REF!</definedName>
    <definedName name="intro_overview_msg_1">#REF!</definedName>
    <definedName name="intro_overview_msg_2">#REF!</definedName>
    <definedName name="intro_overview_msg_3">#REF!</definedName>
    <definedName name="intro_overview_msg_4">#REF!</definedName>
    <definedName name="intro_overview_msg_6">#REF!</definedName>
    <definedName name="intro_overview_sectiontitle">#REF!</definedName>
    <definedName name="over_app_msg_1">#REF!</definedName>
    <definedName name="over_app_msg_2">#REF!</definedName>
    <definedName name="over_app_msg_3">#REF!</definedName>
    <definedName name="over_app_msg_4">#REF!</definedName>
    <definedName name="over_calc_desc_1">#REF!</definedName>
    <definedName name="over_calc_msg_1">#REF!</definedName>
    <definedName name="over_calc_msg_2">#REF!</definedName>
    <definedName name="over_calc_msg_3">#REF!</definedName>
    <definedName name="over_calc_msg_4">#REF!</definedName>
    <definedName name="over_calc_msg_5">#REF!</definedName>
    <definedName name="over_cond_desc_1">#REF!</definedName>
    <definedName name="over_cond_desc_2">#REF!</definedName>
    <definedName name="over_cond_desc_3">#REF!</definedName>
    <definedName name="over_cond_desc_4">#REF!</definedName>
    <definedName name="over_cond_desc_6">#REF!</definedName>
    <definedName name="over_cond_desc_7">#REF!</definedName>
    <definedName name="over_cond_msg_1">#REF!</definedName>
    <definedName name="over_cond_msg_2">#REF!</definedName>
    <definedName name="over_cond_msg_3">#REF!</definedName>
    <definedName name="over_cond_msg_4">#REF!</definedName>
    <definedName name="over_cond_msg_5">#REF!</definedName>
    <definedName name="over_const_desc_1">#REF!</definedName>
    <definedName name="over_const_desc_2">#REF!</definedName>
    <definedName name="over_const_desc_3">#REF!</definedName>
    <definedName name="over_const_msg_1">#REF!</definedName>
    <definedName name="over_const_msg_2">#REF!</definedName>
    <definedName name="over_const_msg_3">#REF!</definedName>
    <definedName name="over_const_msg_4">#REF!</definedName>
    <definedName name="over_const_msg_5">#REF!</definedName>
    <definedName name="over_const_msg_6">#REF!</definedName>
    <definedName name="over_far_maintitle">#REF!</definedName>
    <definedName name="over_far_msg_1">#REF!</definedName>
    <definedName name="over_far_subtitle_1">#REF!</definedName>
    <definedName name="over_far_subtitle_2">#REF!</definedName>
    <definedName name="over_gen_maintitle">#REF!</definedName>
    <definedName name="over_gen_role_desc_1">#REF!</definedName>
    <definedName name="over_gen_role_desc_10">#REF!</definedName>
    <definedName name="over_gen_role_desc_11">#REF!</definedName>
    <definedName name="over_gen_role_desc_12">#REF!</definedName>
    <definedName name="over_gen_role_desc_13">#REF!</definedName>
    <definedName name="over_gen_role_desc_14">#REF!</definedName>
    <definedName name="over_gen_role_desc_15">#REF!</definedName>
    <definedName name="over_gen_role_desc_2">#REF!</definedName>
    <definedName name="over_gen_role_desc_3">#REF!</definedName>
    <definedName name="over_gen_role_desc_4">#REF!</definedName>
    <definedName name="over_gen_role_desc_5">#REF!</definedName>
    <definedName name="over_gen_role_desc_6">#REF!</definedName>
    <definedName name="over_gen_role_desc_7">#REF!</definedName>
    <definedName name="over_gen_role_desc_8">#REF!</definedName>
    <definedName name="over_gen_role_desc_9">#REF!</definedName>
    <definedName name="over_gen_role_msg_1">#REF!</definedName>
    <definedName name="over_gen_role_msg_10">#REF!</definedName>
    <definedName name="over_gen_role_msg_11">#REF!</definedName>
    <definedName name="over_gen_role_msg_12">#REF!</definedName>
    <definedName name="over_gen_role_msg_13">#REF!</definedName>
    <definedName name="over_gen_role_msg_14">#REF!</definedName>
    <definedName name="over_gen_role_msg_15">#REF!</definedName>
    <definedName name="over_gen_role_msg_2">#REF!</definedName>
    <definedName name="over_gen_role_msg_3">#REF!</definedName>
    <definedName name="over_gen_role_msg_4">#REF!</definedName>
    <definedName name="over_gen_role_msg_5">#REF!</definedName>
    <definedName name="over_gen_role_msg_6">#REF!</definedName>
    <definedName name="over_gen_role_msg_7">#REF!</definedName>
    <definedName name="over_gen_role_msg_8">#REF!</definedName>
    <definedName name="over_gen_role_msg_9">#REF!</definedName>
    <definedName name="over_gen_subtitle_1">#REF!</definedName>
    <definedName name="over_gen_subtitle_2">#REF!</definedName>
    <definedName name="over_gen_type_def_1">#REF!</definedName>
    <definedName name="over_gen_type_def_10">#REF!</definedName>
    <definedName name="over_gen_type_def_11">#REF!</definedName>
    <definedName name="over_gen_type_def_12">#REF!</definedName>
    <definedName name="over_gen_type_def_13">#REF!</definedName>
    <definedName name="over_gen_type_def_14">#REF!</definedName>
    <definedName name="over_gen_type_def_2">#REF!</definedName>
    <definedName name="over_gen_type_def_3">#REF!</definedName>
    <definedName name="over_gen_type_def_4">#REF!</definedName>
    <definedName name="over_gen_type_def_5">#REF!</definedName>
    <definedName name="over_gen_type_def_6">#REF!</definedName>
    <definedName name="over_gen_type_def_7">#REF!</definedName>
    <definedName name="over_gen_type_def_8">#REF!</definedName>
    <definedName name="over_gen_type_def_9">#REF!</definedName>
    <definedName name="over_gen_type_msg_1">#REF!</definedName>
    <definedName name="over_gen_type_msg_10">#REF!</definedName>
    <definedName name="over_gen_type_msg_11">#REF!</definedName>
    <definedName name="over_gen_type_msg_12">#REF!</definedName>
    <definedName name="over_gen_type_msg_13">#REF!</definedName>
    <definedName name="over_gen_type_msg_14">#REF!</definedName>
    <definedName name="over_gen_type_msg_2">#REF!</definedName>
    <definedName name="over_gen_type_msg_3">#REF!</definedName>
    <definedName name="over_gen_type_msg_4">#REF!</definedName>
    <definedName name="over_gen_type_msg_5">#REF!</definedName>
    <definedName name="over_gen_type_msg_6">#REF!</definedName>
    <definedName name="over_gen_type_msg_7">#REF!</definedName>
    <definedName name="over_gen_type_msg_8">#REF!</definedName>
    <definedName name="over_gen_type_msg_9">#REF!</definedName>
    <definedName name="over_gen_type_subtitle_1">#REF!</definedName>
    <definedName name="over_grp_msg_1">#REF!</definedName>
    <definedName name="over_rpt_msg_1">#REF!</definedName>
    <definedName name="over_settings_maintitle">#REF!</definedName>
    <definedName name="over_settings_msg_1">#REF!</definedName>
    <definedName name="over_settings_subtitle_1">#REF!</definedName>
    <definedName name="over_settings_subtitle_2">#REF!</definedName>
    <definedName name="over_settings_subtitle_3">#REF!</definedName>
    <definedName name="over_settings_subtitle_4">#REF!</definedName>
    <definedName name="over_type_subtitle_1">#REF!</definedName>
    <definedName name="_xlnm.Print_Area" localSheetId="0">'1. Identifikasi'!$B$2:$I$32</definedName>
    <definedName name="sl_language">#REF!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9" i="2" l="1"/>
  <c r="G29" i="2"/>
  <c r="H28" i="2"/>
  <c r="G28" i="2"/>
  <c r="G31" i="2" s="1"/>
  <c r="H27" i="2"/>
  <c r="G27" i="2"/>
  <c r="H26" i="2"/>
  <c r="G26" i="2"/>
  <c r="G18" i="2"/>
  <c r="H30" i="2" s="1"/>
  <c r="G17" i="2"/>
  <c r="G30" i="2" l="1"/>
</calcChain>
</file>

<file path=xl/sharedStrings.xml><?xml version="1.0" encoding="utf-8"?>
<sst xmlns="http://schemas.openxmlformats.org/spreadsheetml/2006/main" count="1325" uniqueCount="650">
  <si>
    <t>Penilaian Instrumen Hukum Transfer Data Pribadi</t>
  </si>
  <si>
    <t>Kegiatan Pemrosesan</t>
  </si>
  <si>
    <t>:</t>
  </si>
  <si>
    <t>Pejabat Pelindung Data Pribadi</t>
  </si>
  <si>
    <t xml:space="preserve">Tanggal </t>
  </si>
  <si>
    <t>Penanggung Jawab</t>
  </si>
  <si>
    <t>Unit Terkait</t>
  </si>
  <si>
    <t>Analisa Transfer Data Pribadi</t>
  </si>
  <si>
    <t>Deskripsi</t>
  </si>
  <si>
    <t>Informasi Umum Transfer Data Pribadi</t>
  </si>
  <si>
    <r>
      <rPr>
        <sz val="11"/>
        <color rgb="FF000000"/>
        <rFont val="Arial"/>
        <family val="2"/>
      </rPr>
      <t xml:space="preserve">Apa dasar regulasi atau instrumen hukum yang digunakan untuk transfer Data Pribadi ini.
</t>
    </r>
    <r>
      <rPr>
        <i/>
        <sz val="11"/>
        <color rgb="FF0070C0"/>
        <rFont val="Arial"/>
        <family val="2"/>
      </rPr>
      <t>Jelaskan dokumen atau dasar yang membuat transfer ini sah. Misalnya kontrak, klausul PDP, atau instrumen hukum lain.</t>
    </r>
  </si>
  <si>
    <r>
      <t>Tujuan Transfer Data Pribadi</t>
    </r>
    <r>
      <rPr>
        <b/>
        <sz val="11"/>
        <color theme="1"/>
        <rFont val="Arial"/>
        <family val="2"/>
      </rPr>
      <t xml:space="preserve">
</t>
    </r>
  </si>
  <si>
    <r>
      <t xml:space="preserve">Pihak Penerima Data Pribadi
</t>
    </r>
    <r>
      <rPr>
        <i/>
        <sz val="11"/>
        <color theme="4"/>
        <rFont val="Arial"/>
        <family val="2"/>
      </rPr>
      <t>Sebutkan Pihak Penerima Data Pribadi</t>
    </r>
  </si>
  <si>
    <r>
      <t xml:space="preserve">Negara Penerima Data Pribadi
</t>
    </r>
    <r>
      <rPr>
        <i/>
        <sz val="11"/>
        <color theme="4"/>
        <rFont val="Arial"/>
        <family val="2"/>
      </rPr>
      <t>tempat penyimpanan dan akses terhadap Data Pribadi;</t>
    </r>
  </si>
  <si>
    <t>Regulasi Pelindungan Data Pribadi Negara Penerima</t>
  </si>
  <si>
    <t>Mekanisme Transfer Data Pribadi</t>
  </si>
  <si>
    <r>
      <t xml:space="preserve">Lingkup Sektor Transfer Data Pribadi
</t>
    </r>
    <r>
      <rPr>
        <i/>
        <sz val="11"/>
        <color theme="4"/>
        <rFont val="Arial"/>
        <family val="2"/>
      </rPr>
      <t>Jelaskan proses bisnis atau kegiatan operasional yang menjadi konteks transfer Data Pribadi.</t>
    </r>
  </si>
  <si>
    <r>
      <t xml:space="preserve">Kategori Data Pribadi
</t>
    </r>
    <r>
      <rPr>
        <i/>
        <sz val="11"/>
        <color theme="4"/>
        <rFont val="Arial"/>
        <family val="2"/>
      </rPr>
      <t>Jelaskan jenis Data Pribadi yang dikirim kepada pihak penerima.</t>
    </r>
  </si>
  <si>
    <t xml:space="preserve">Data Pribadi Umum
1. 
2. </t>
  </si>
  <si>
    <t xml:space="preserve">Data Pribadi Spesifik
1. 
2. </t>
  </si>
  <si>
    <r>
      <t xml:space="preserve">Mekanisme Transfer Data Pribadi
</t>
    </r>
    <r>
      <rPr>
        <i/>
        <sz val="11"/>
        <color rgb="FF0070C0"/>
        <rFont val="Arial"/>
        <family val="2"/>
      </rPr>
      <t>Jelaskan metode atau sarana yang digunakan untuk mentransfer Data Pribadi.</t>
    </r>
  </si>
  <si>
    <t>Penilaian Risiko</t>
  </si>
  <si>
    <r>
      <t xml:space="preserve">Mekanisme Pelindungan Transfer Data Pribadi
</t>
    </r>
    <r>
      <rPr>
        <i/>
        <sz val="11"/>
        <color theme="4"/>
        <rFont val="Arial"/>
        <family val="2"/>
      </rPr>
      <t>Jelaskan langkah pelindungan yang digunakan untuk menjamin hak Subjek Data Pribadi</t>
    </r>
  </si>
  <si>
    <r>
      <t xml:space="preserve">Transfer Lanjutan
</t>
    </r>
    <r>
      <rPr>
        <i/>
        <sz val="11"/>
        <color theme="4"/>
        <rFont val="Arial"/>
        <family val="2"/>
      </rPr>
      <t>Apakah terdapat kemungkinan Data Pribadi ditransfer lebih lanjut ke negara lain oleh pihak penerima.</t>
    </r>
    <r>
      <rPr>
        <sz val="11"/>
        <color theme="1"/>
        <rFont val="Arial"/>
        <family val="2"/>
      </rPr>
      <t xml:space="preserve">
</t>
    </r>
  </si>
  <si>
    <r>
      <t xml:space="preserve">Potensi Risiko
</t>
    </r>
    <r>
      <rPr>
        <i/>
        <sz val="11"/>
        <color theme="4"/>
        <rFont val="Arial"/>
        <family val="2"/>
      </rPr>
      <t>Jelaskan langkah pelindungan yang digunakan untuk menjamin hak Subjek Data Pribadi</t>
    </r>
  </si>
  <si>
    <t>Kebocoran, Akses Tidak Sah, atau Intersepsi Data Saat Transmisi</t>
  </si>
  <si>
    <t>Kegagalan Kontrol Teknis atau Operasional pada Pihak Penerima (misalnya salah konfigurasi, data hilang, atau data rusak)</t>
  </si>
  <si>
    <t xml:space="preserve">Penyalahgunaan, Pengungkapan Tanpa Otorisasi, atau Penggunaan Data di Luar Tujuan Pemrosesan
</t>
  </si>
  <si>
    <t>Transfer Lanjutan ke Pihak atau Negara Lain Tanpa Pengendalian</t>
  </si>
  <si>
    <t>Hak Subjek Data Pribadi Sulit Dipenuhi atau Ditegakkan di Negara Tujuan</t>
  </si>
  <si>
    <t>Evaluasi</t>
  </si>
  <si>
    <r>
      <t xml:space="preserve">Evaluasi Transfer Data Pribadi
</t>
    </r>
    <r>
      <rPr>
        <i/>
        <sz val="11"/>
        <color theme="4"/>
        <rFont val="Arial"/>
        <family val="2"/>
      </rPr>
      <t xml:space="preserve">Langkah prosedural dan evaluasi terhadap pelaksanaan transfer Data Pribadi. </t>
    </r>
  </si>
  <si>
    <t>Operasional switching dan sistem pembayaran</t>
  </si>
  <si>
    <t>SFTP melalui koneksi terenkripsi</t>
  </si>
  <si>
    <t>Manajemen merchant dan akseptasi pembayaran</t>
  </si>
  <si>
    <t>API melalui koneksi terenkripsi</t>
  </si>
  <si>
    <t>Manajemen risiko dan pencegahan fraud</t>
  </si>
  <si>
    <t>VPN secure connection</t>
  </si>
  <si>
    <t>Settlement dan rekonsiliasi transaksi</t>
  </si>
  <si>
    <t>Secure file sharing portal</t>
  </si>
  <si>
    <t>Operasional TI dan infrastruktur sistem</t>
  </si>
  <si>
    <t>Secure database connection</t>
  </si>
  <si>
    <t>Layanan pelanggan dan penanganan pengaduan</t>
  </si>
  <si>
    <t>Encrypted email attachment</t>
  </si>
  <si>
    <t>Kepatuhan, audit, dan pelaporan regulator</t>
  </si>
  <si>
    <t>Physical encrypted media</t>
  </si>
  <si>
    <t>Country</t>
  </si>
  <si>
    <t>Title</t>
  </si>
  <si>
    <t>Link</t>
  </si>
  <si>
    <t>Section</t>
  </si>
  <si>
    <t>Albania</t>
  </si>
  <si>
    <t>Law No. 9887 on the Protection of Personal Data, 2008 (in English)</t>
  </si>
  <si>
    <t>https://www.idp.al/wp-content/uploads/2019/10/LDP_english_version_amended_2014.pdf</t>
  </si>
  <si>
    <t>Privacy and Data Protection</t>
  </si>
  <si>
    <t>Algeria</t>
  </si>
  <si>
    <t>Loi n° 18-07 du 10 juin 2018 relative à la protection des personnes physiques dans le traitement des données à caractère personnel (in French)</t>
  </si>
  <si>
    <t>https://www.joradp.dz/Jo2000/2018/034/FP10.pdf</t>
  </si>
  <si>
    <t>Andorra</t>
  </si>
  <si>
    <t>Law 29/2021Personal Data Protection Law</t>
  </si>
  <si>
    <t>https://www.bopa.ad/bopa/033119/Pagines/CGL20211115_08_58_32.aspx</t>
  </si>
  <si>
    <t>Angola</t>
  </si>
  <si>
    <t>Lei No. 22/11 da Protecção de Dados Pessoais de 17 de Junho (in Portuguese)</t>
  </si>
  <si>
    <t>https://media2.mofo.com/documents/Law_22_11_Data_Privacy_Law.pdf</t>
  </si>
  <si>
    <t>Antigua and Barbuda</t>
  </si>
  <si>
    <t>Data Protection Act 2013 (in English)</t>
  </si>
  <si>
    <t>http://laws.gov.ag/wp-content/uploads/2019/02/a2013-10.pdf</t>
  </si>
  <si>
    <t>Argentina</t>
  </si>
  <si>
    <t>Constitución de la Nación Argentina, Ley Nº 24.430, Sancionada el 15 de Diciembre de 1994 (in Spanish)</t>
  </si>
  <si>
    <t>http://servicios.infoleg.gob.ar/infolegInternet/anexos/0-4999/804/norma.htm</t>
  </si>
  <si>
    <t>Armenia</t>
  </si>
  <si>
    <t>Law of the Republic of Armenia on the Protection of Personal Data (in English)</t>
  </si>
  <si>
    <t>http://www.foi.am/u_files/file/Personaldataprotectionlaw_ENG.pdf</t>
  </si>
  <si>
    <t>Australia</t>
  </si>
  <si>
    <t>Privacy Act 1988 (in English)</t>
  </si>
  <si>
    <t>http://www.comlaw.gov.au/Details/C2015C00089</t>
  </si>
  <si>
    <t>Austria</t>
  </si>
  <si>
    <t>Federal Act concerning the Protection of Personal Data (DSG) (in German)</t>
  </si>
  <si>
    <t>https://www.ris.bka.gv.at/Dokumente/Erv/ERV_1999_1_165/ERV_1999_1_165.html</t>
  </si>
  <si>
    <t>Azerbaijan</t>
  </si>
  <si>
    <t>Law on Personal Data 2010 (in Azerbaijani)</t>
  </si>
  <si>
    <t>http://www.e-qanun.az/framework/19675</t>
  </si>
  <si>
    <t>Bahamas</t>
  </si>
  <si>
    <t>Data Protection (Privacy of Personal Information) Act 2003 (in English)</t>
  </si>
  <si>
    <t>http://laws.bahamas.gov.bs/cms/images/LEGISLATION/PRINCIPAL/2003/2003-0003/DataProtectionPrivacyofPersonalInformationAct_1.pdf</t>
  </si>
  <si>
    <t>Bahrain</t>
  </si>
  <si>
    <t>10 Ministerial Resolutions Supplementing the PDPL (Personal Data Protection Law)</t>
  </si>
  <si>
    <t>Law in Bahrain - DLA Piper Global Data Protection Laws of the World (dlapiperdataprotection.com)</t>
  </si>
  <si>
    <t>Bangladesh</t>
  </si>
  <si>
    <t>Data Protection Act (Draft), 2023 (in Bengali)</t>
  </si>
  <si>
    <t>http://www.cirt.gov.bd/wp-content/uploads/2023/08/Data-Protection-Act-Draft-23.pdf</t>
  </si>
  <si>
    <t>Barbados</t>
  </si>
  <si>
    <t>Bill - Data Protection passed in Senate and House of Assembly, 2019 (in English)</t>
  </si>
  <si>
    <t>https://www.barbadosparliament.com/uploads/bill_resolution/7b81b59260896178b5aa976fdb87bfee.pdf</t>
  </si>
  <si>
    <t>Belarus</t>
  </si>
  <si>
    <t>Personal Data Protection of 7 May 2021&lt;br&gt;No. 99-Z  (Data Protection Law)</t>
  </si>
  <si>
    <t>https://cpd.by/en/national-regulation/the-belarusian-data-protection-act/</t>
  </si>
  <si>
    <t>Belgium</t>
  </si>
  <si>
    <t>Act of 30 July 2018 on the Protection of Natural Persons with Regard to the Processing of Personal Data</t>
  </si>
  <si>
    <t>https://www.dataprotectionauthority.be/publications/act-of-30-july-2018.pdf</t>
  </si>
  <si>
    <t>Belize</t>
  </si>
  <si>
    <t>Data Protection Act 2021</t>
  </si>
  <si>
    <t>https://www.nationalassembly.gov.bz/wp-content/uploads/2021/12/Act-No-45-of-2021-Data-Protection-Act.pdf</t>
  </si>
  <si>
    <t>Benin</t>
  </si>
  <si>
    <t>Loi n° 2009-09 of may 22, 2009Dealing with the protection of Personally Identifiable Information (PII)&lt;br&gt;in the Republic of Benin.</t>
  </si>
  <si>
    <t>https://apdp.bj/wp-content/uploads/2016/08/Loi-No-2009-du-22Mai-2009-Version-Anglaise.pdf</t>
  </si>
  <si>
    <t>Bhutan</t>
  </si>
  <si>
    <t>Bhutan Information, Communications and Media Act 2018 (in English and Dzongkha)</t>
  </si>
  <si>
    <t>https://www.dit.gov.bt/information-communications-and-media-act-bhutan-2018</t>
  </si>
  <si>
    <t>Bolivia (Plurinational State of)</t>
  </si>
  <si>
    <t>Bill of Personal Data Protection</t>
  </si>
  <si>
    <t>#</t>
  </si>
  <si>
    <t>Bosnia and Herzegovina</t>
  </si>
  <si>
    <t>Law on Personal Data Protection (the Draft Law)</t>
  </si>
  <si>
    <t>Botswana</t>
  </si>
  <si>
    <t>Bill - Data protection Law 2018 (in English)</t>
  </si>
  <si>
    <t>https://www.bocra.org.bw/sites/default/files/documents/DataProtectionAct.pdf</t>
  </si>
  <si>
    <t>Brazil</t>
  </si>
  <si>
    <t>General Data Protection Law (LGPD), Federal Law no. 13,709/2018</t>
  </si>
  <si>
    <t>https://www.dataguidance.com/sites/default/files/lgpd_translation.pdf</t>
  </si>
  <si>
    <t>Bulgaria</t>
  </si>
  <si>
    <t>Personal Data Protection Act (“PDPA”)</t>
  </si>
  <si>
    <t>https://dv.parliament.bg/DVWeb/showMaterialDV.jsp</t>
  </si>
  <si>
    <t>Burkina Faso</t>
  </si>
  <si>
    <t>Loi n° 010-2004/AN Portant Protection des Données à Caractère Personnel (in French)</t>
  </si>
  <si>
    <t>http://www.afapdp.org/wp-content/uploads/2012/01/Burkina-Faso-Loi-portant-protection-des-donn%C3%A9es-%C3%A0-caract%C3%A8re-personnel-20042.pdf</t>
  </si>
  <si>
    <t>Cambodia</t>
  </si>
  <si>
    <t>Article 32 of the Law on Electronic Commerce (2019) (in English)</t>
  </si>
  <si>
    <t>https://www.ccfdg.gov.kh/pdf-view/?filename=https://www.ccfdg.gov.kh/wp-content/uploads/2021/02/Khmer_Law-on-E-Commerce.pdf</t>
  </si>
  <si>
    <t>Cameroon</t>
  </si>
  <si>
    <t>Loi n*2010/012 du 21 décembre 2010 relative à la cybersécurité et à la cybercriminalité (in French)</t>
  </si>
  <si>
    <t>http://www.art.cm/sites/default/files/documents/loi_2010-012_cybersecurite_cybercriminalite.pdf</t>
  </si>
  <si>
    <t>Canada</t>
  </si>
  <si>
    <t xml:space="preserve"> Bill C-27</t>
  </si>
  <si>
    <t>https://www.parl.ca/DocumentViewer/en/44-1/bill/C-27/first-reading</t>
  </si>
  <si>
    <t>Chad</t>
  </si>
  <si>
    <t>Law 007/PR/2015 on the Protection of Personal Data (in French and Arabic)</t>
  </si>
  <si>
    <t>https://arcep.td/sites/default/files/Loi-N%C2%B007-PR-2015.pdf</t>
  </si>
  <si>
    <t>Chile</t>
  </si>
  <si>
    <t>Boletín N° 11144-07 (in Spanish)</t>
  </si>
  <si>
    <t>https://www.camara.cl/legislacion/ProyectosDeLey/tramitacion.aspx?prmID=11661&amp;amp</t>
  </si>
  <si>
    <t>China</t>
  </si>
  <si>
    <t>Cybersecurity Law</t>
  </si>
  <si>
    <t>https://digichina.stanford.edu/work/translation-cybersecurity-law-of-the-peoples-republic-of-china-effective-june-1-2017/</t>
  </si>
  <si>
    <t>Colombia</t>
  </si>
  <si>
    <t>Ley 1581 de 2012 - Marco general de la protección de los datos personales en Colombia (in Spanish)</t>
  </si>
  <si>
    <t>https://www.funcionpublica.gov.co/eva/gestornormativo/norma_pdf.php?i=49981</t>
  </si>
  <si>
    <t>Costa Rica</t>
  </si>
  <si>
    <t xml:space="preserve">Ley : 7975 del 04/01/2000 </t>
  </si>
  <si>
    <t>Côte d'Ivoire</t>
  </si>
  <si>
    <t>Loi n° 2013-450 du 19 juin 2013 relative à la protection des données à caractère personnel (in French)</t>
  </si>
  <si>
    <t>http://media.mofo.com/files/PrivacyLibrary/3979/Cote-d-voire-loi_2013_450.pdf</t>
  </si>
  <si>
    <t>Croatia</t>
  </si>
  <si>
    <t>Act on the Implementation of the General Data Protection Regulation (in Croatian: Zakon o provedbi Opće uredbe o zaštiti podataka) (the “Implementation Act”)</t>
  </si>
  <si>
    <t>https://narodne-novine.nn.hr/clanci/sluzbeni/2018_05_42_805.html</t>
  </si>
  <si>
    <t>Cuba</t>
  </si>
  <si>
    <t>Personal Data Protection law (Law 149/2022)</t>
  </si>
  <si>
    <t>https://www.wipo.int/wipolex/en/text/586230</t>
  </si>
  <si>
    <t>Cyprus</t>
  </si>
  <si>
    <t>The Protection of Physical Persons Against the Processing of Personal Data and Free Movement of such Data Law 125(I)/2018</t>
  </si>
  <si>
    <t>https://www.dataprotection.gov.cy/dataprotection/dataprotection.nsf/All/2B53605103DCE4A4C225826300362211</t>
  </si>
  <si>
    <t>Democratic Republic of the Congo</t>
  </si>
  <si>
    <t>Digital Code 2023 (Code du Numérique, in Title III)</t>
  </si>
  <si>
    <t>Denmark</t>
  </si>
  <si>
    <t>Databeskyttelsesloven (the “Data Protection Act”)</t>
  </si>
  <si>
    <t>https://www.retsinformation.dk/Forms/R0710.aspx?id=201319</t>
  </si>
  <si>
    <t>Dominican Republic</t>
  </si>
  <si>
    <t>Ley No. 172-13, sobre Protección de Datos de Carácter Personal del 13 de diciembre de 2013 (in English)</t>
  </si>
  <si>
    <t>https://indotel.gob.do/media/6200/ley_172_13.pdf</t>
  </si>
  <si>
    <t>Ecuador</t>
  </si>
  <si>
    <t xml:space="preserve"> Personal Data Protection Organic Law</t>
  </si>
  <si>
    <t>https://www.finanzaspopulares.gob.ec/wp-content/uploads/2021/07/ley_organica_de_proteccion_de_datos_personales.pdf</t>
  </si>
  <si>
    <t>Egypt</t>
  </si>
  <si>
    <t>Personal Data Protection Law, Law No. 151 of 2020 (in Arabic)</t>
  </si>
  <si>
    <t>https://mcit.gov.eg/Upcont/Documents/Reports%20and%20Documents_1232021000_Law_No_151_2020_Personal_Data_Protection.pdf</t>
  </si>
  <si>
    <t>El Salvador</t>
  </si>
  <si>
    <t>Ley de Protección de Datos Personales y Habeas Data</t>
  </si>
  <si>
    <t>Estonia</t>
  </si>
  <si>
    <t>Personal Data Protection Act (the “PDPA”)</t>
  </si>
  <si>
    <t>https://www.riigiteataja.ee/en/eli/523012019001/consolide</t>
  </si>
  <si>
    <t>Eswatini</t>
  </si>
  <si>
    <t>Data Protection Act No. 5 of 2022</t>
  </si>
  <si>
    <t>https://www.esccom.org.sz/legislation/DATA%20PROTECTION%20ACT.pdf</t>
  </si>
  <si>
    <t>Ethiopia</t>
  </si>
  <si>
    <t>Personal Data Protection Proclamation 1321/2024</t>
  </si>
  <si>
    <t>Finland</t>
  </si>
  <si>
    <t>Finnish Data Protection Act (1050/2018) (the “Data Protection Act”)</t>
  </si>
  <si>
    <t>https://www.finlex.fi/fi/laki/alkup/2018/20181050</t>
  </si>
  <si>
    <t>France</t>
  </si>
  <si>
    <t>French Data Protection Act (as amended by the Law No. 2018-493 of 20 June 2018 on the protection of personal data and by the Decree No. 2018-687 of 1 August 2018) (the “FDPA”)</t>
  </si>
  <si>
    <t>https://www.legifrance.gouv.fr/loda/id/LEGITEXT000006068624</t>
  </si>
  <si>
    <t>Gabon</t>
  </si>
  <si>
    <t>Loi n°001/2011 relative à la protection des données à caractère personnel (in French)</t>
  </si>
  <si>
    <t>http://www.afapdp.org/wp-content/uploads/2012/01/Gabon-Loi-relative-%C3%A0-la-protection-des-donn%C3%A9es-personnelles-du-4-mai-20112.pdf</t>
  </si>
  <si>
    <t>Gambia</t>
  </si>
  <si>
    <t xml:space="preserve"> Data protection and Privacy Policy</t>
  </si>
  <si>
    <t>http://www.pura.gm/wp-content/uploads/2019/08/Data-Protection-and-Privacy-Draft-Policy-and-Strategy-August-2019.pdf</t>
  </si>
  <si>
    <t>Georgia</t>
  </si>
  <si>
    <t>Law of Georgia on Personal Data Protection (in English)</t>
  </si>
  <si>
    <t>https://gc-pfiles.mfa.gov.ge/DocFiles//2023/12/14/LegalAct/31/03db4098-78f9-4449-a957-ce6995c114ae.pdf</t>
  </si>
  <si>
    <t>Germany</t>
  </si>
  <si>
    <t>Bundesdatenschutzgesetz - BDSG (in German)</t>
  </si>
  <si>
    <t>https://www.gesetze-im-internet.de/bdsg_2018/BJNR209710017.html</t>
  </si>
  <si>
    <t>Ghana</t>
  </si>
  <si>
    <t>Data Protection Act (Act No. 843) 2012 - DPA (in English)</t>
  </si>
  <si>
    <t>http://media.mofo.com/files/PrivacyLibrary/3981/GHANAbill.pdf</t>
  </si>
  <si>
    <t>Greece</t>
  </si>
  <si>
    <t>Law No. 4624/2019 Hellenic Data Protection Authority (HDPA) (in Greek)</t>
  </si>
  <si>
    <t>https://www.dpa.gr/APDPXPortlets/htdocs/documentSDisplay.jsp?docid=66,121,83,229,125,127,247,242</t>
  </si>
  <si>
    <t>Grenada</t>
  </si>
  <si>
    <t>Data Protection Act, No. 1 of 2023</t>
  </si>
  <si>
    <t>https://grenadaparliament.gd/ova_doc/data-protection-bill-08032023-with-final-hor-amendments/</t>
  </si>
  <si>
    <t>Guatemala</t>
  </si>
  <si>
    <t>iniciativa de ley presentada por el representante jose alejandro de leon maldonado.</t>
  </si>
  <si>
    <t>https://www-congreso-gob-gt.translate.goog/detalle_pdf/iniciativas/5971?_x_tr_sl=es&amp;amp</t>
  </si>
  <si>
    <t>Guinea</t>
  </si>
  <si>
    <t>Loi L/2016/037/AN relative à la cyber-sécurité et la protection des données à caractère personnel (in French)</t>
  </si>
  <si>
    <t>https://mpten.gov.gn/wp-content/uploads/2019/06/loi_l2016037an_relative_a_la_cybersecurite_et_protection_des_do.pdf</t>
  </si>
  <si>
    <t>Guyana</t>
  </si>
  <si>
    <t xml:space="preserve"> Data Protection Bill No. 14 of 2023</t>
  </si>
  <si>
    <t>https://www.parliament.gov.gy/chamber-business/bill-status/dataprotectionbill2023</t>
  </si>
  <si>
    <t>Honduras</t>
  </si>
  <si>
    <t>Ley de trasnparencia y accesso a la información pública DECRETO No. 170‐2006 (in Spanish)</t>
  </si>
  <si>
    <t>http://www.oas.org/es/sla/ddi/docs/H2%20LeyDeTransparencia.pdf</t>
  </si>
  <si>
    <t>Hungary</t>
  </si>
  <si>
    <t>Act CXII of 2011 on the right to informational self-determination and on the freedom of information (in Hungarian)</t>
  </si>
  <si>
    <t>http://njt.hu/translated/doc/J2011T0112P_20200101_FIN.PDF&amp;#160</t>
  </si>
  <si>
    <t>Iceland</t>
  </si>
  <si>
    <t>Act No. 90/2018 on Data Protection and the Processing of Personal Data (in Icelandic: Lög nr. 90/2018 um persónuvernd og vinnslu persónuupplýsinga) (the “Data Protection Act”)</t>
  </si>
  <si>
    <t>https://www.althingi.is/lagas/149a/2018090.html</t>
  </si>
  <si>
    <t>India</t>
  </si>
  <si>
    <t>Digital Personal Data Protection (DPDP) Bill</t>
  </si>
  <si>
    <t>https://prsindia.org/billtrack/digital-personal-data-protection-bill-2023</t>
  </si>
  <si>
    <t>Indonesia</t>
  </si>
  <si>
    <t>Law No. 27 of 2022 on Personal Data Protection (PDP Law)</t>
  </si>
  <si>
    <t>https://jdih.setkab.go.id/PUUdoc/176837/Salinan_UU_Nomor_27_Tahun_2022.pdf</t>
  </si>
  <si>
    <t>Iran (Islamic Republic of)</t>
  </si>
  <si>
    <t> Bill - Protection of Data and Privacy in the Cyber Space 2018</t>
  </si>
  <si>
    <t>Ireland</t>
  </si>
  <si>
    <t>Data Protection Act 2018 (the “2018 Act”)</t>
  </si>
  <si>
    <t>https://www.irishstatutebook.ie/eli/2018/act/7/enacted/en/print</t>
  </si>
  <si>
    <t>Israel</t>
  </si>
  <si>
    <t>Protection of Privacy Bill (Amendment No. 14), 5772-2021 (“Amendment 14”)</t>
  </si>
  <si>
    <t>Italy</t>
  </si>
  <si>
    <t>Legislative Decree No. 101/2018 setting out rules adapting Italian law to the GDPR, which amended Legislative Decree No. 196/2003 setting out the Italian privacy code (the “Italian Privacy Code”)</t>
  </si>
  <si>
    <t>https://www.gazzettaufficiale.it/atto/serie_generale/caricaDettaglioAtto/originario?atto.dataPubblicazioneGazzetta=2018-09-04&amp;amp</t>
  </si>
  <si>
    <t>Jamaica</t>
  </si>
  <si>
    <t>Data Protection Act 2020</t>
  </si>
  <si>
    <t>https://japarliament.gov.jm/attachments/article/341/The%20Data%20Protection%20Act,%202020%20No.%207.pdf</t>
  </si>
  <si>
    <t>Japan</t>
  </si>
  <si>
    <t>Act on the Protection of Personal Information (Act No. 57 of 2003</t>
  </si>
  <si>
    <t>Jordan</t>
  </si>
  <si>
    <t>Personal Data Protection Law No. (24) of 2023</t>
  </si>
  <si>
    <t>https://www.modee.gov.jo/ebv4.0/root_storage/en/eb_list_page/pdpl.pdf</t>
  </si>
  <si>
    <t>Kazakhstan</t>
  </si>
  <si>
    <t>Law No.94-V ZRK of 21 May 2013 on the Protection of Personal Data.</t>
  </si>
  <si>
    <t>http://www.ilo.ch/dyn/natlex/docs/ELECTRONIC/96710/143635/F-393049228/KAZ-96710.pdf</t>
  </si>
  <si>
    <t>Kenya</t>
  </si>
  <si>
    <t>The Data Protection Act, 2019 (in English)</t>
  </si>
  <si>
    <t>http://kenyalaw.org/kl/fileadmin/pdfdownloads/Acts/2019/TheDataProtectionAct__No24of2019.pdf</t>
  </si>
  <si>
    <t>Kuwait</t>
  </si>
  <si>
    <t>Decision No. 42 of 2021 on Data Privacy Protection Regulation</t>
  </si>
  <si>
    <t>https://www.citra.gov.kw/sites/en/LegalReferences/Data_Privacy_Protection_Regulation.pdf</t>
  </si>
  <si>
    <t>Lao People's Democratic Republic</t>
  </si>
  <si>
    <t>Law on Electronic Data Protection</t>
  </si>
  <si>
    <t>https://laoofficialgazette.gov.la/kcfinder/upload/files/0918570.pdf</t>
  </si>
  <si>
    <t>Latvia</t>
  </si>
  <si>
    <t>Personal Data Processing Law</t>
  </si>
  <si>
    <t>https://likumi.lv/ta/en/en/id/300099-personal-data-processing-law</t>
  </si>
  <si>
    <t>Lebanon</t>
  </si>
  <si>
    <t>Law No. 81/2018 relating to Electronic Transactions and Personal Data Law</t>
  </si>
  <si>
    <t>https://cyrilla.org/api/files/1588765194459b2ei80i27m.pdf</t>
  </si>
  <si>
    <t>Lesotho</t>
  </si>
  <si>
    <t>Data Protection Act No. 19 2012 (in English)</t>
  </si>
  <si>
    <t>http://www.nic.ls/lsnic/community/policies/Data_Protection_Act_2011_Lesotho.pdf</t>
  </si>
  <si>
    <t>Liechtenstein</t>
  </si>
  <si>
    <t>Datenschutzgesetz (the “Data Protection Act”)</t>
  </si>
  <si>
    <t>https://www.gesetze.li/konso/2018272000?search_text=datenschutz&amp;amp</t>
  </si>
  <si>
    <t>observe_date=11.04.2019,Privacy and Data Protection</t>
  </si>
  <si>
    <t>Lithuania</t>
  </si>
  <si>
    <t>Law on Legal Protection of Personal Data (in English)</t>
  </si>
  <si>
    <t>http://www.wipo.int/wipolex/en/text.jsp?file_id=202094</t>
  </si>
  <si>
    <t>Luxembourg</t>
  </si>
  <si>
    <t>Law of 1 August 2018 organising the National Commission on Data Protection and implementing the GDPR (the “Data Protection Law”)</t>
  </si>
  <si>
    <t>https://legilux.public.lu/eli/etat/leg/loi/2018/08/01/a686/jo</t>
  </si>
  <si>
    <t>Madagascar</t>
  </si>
  <si>
    <t>Law No. 38/2014 Protection of personal data (in French)</t>
  </si>
  <si>
    <t>http://www.afapdp.org/wp-content/uploads/2015/01/Madagascar-L-2014-038-du-09-01-15-sur-la-protection-des-donn%C3%A9es-%C3%A0-caract%C3%A8re-personnel.pdf</t>
  </si>
  <si>
    <t>Malawi</t>
  </si>
  <si>
    <t>Electronic Transactions and Cyber Security Act, 2016 (in English)</t>
  </si>
  <si>
    <t>https://www.macra.org.mw/?wpdmpro=electronic-transaction-and-cyber-security-act-2016</t>
  </si>
  <si>
    <t>Malaysia</t>
  </si>
  <si>
    <t>Personal Data Protection Act 2010 (in English)</t>
  </si>
  <si>
    <t>http://www.kkmm.gov.my/pdf/Personal%20Data%20Protection%20Act%202010.pdf</t>
  </si>
  <si>
    <t>Maldives</t>
  </si>
  <si>
    <t>Privacy and Personal Data Protection Bill (Draft)</t>
  </si>
  <si>
    <t>https://www.environment.gov.mv/v2/en/download/20154</t>
  </si>
  <si>
    <t>Mali</t>
  </si>
  <si>
    <t>Loi sur la protection des données à caractère personnel - Loi n° 2013-015 du 21 mai 2013 (in French)</t>
  </si>
  <si>
    <t>http://www.afapdp.org/wp-content/uploads/2012/01/Mali-Loi-sur-la-protection-des-donn%C3%A9es-personnelles-du-21-mai-2013.pdf</t>
  </si>
  <si>
    <t>Malta</t>
  </si>
  <si>
    <t>Data Protection Act, Cap 586 (in English)</t>
  </si>
  <si>
    <t>https://maltacvs.org/wp-content/uploads/2019/05/Data-Protection-Act.pdf</t>
  </si>
  <si>
    <t>Mauritania</t>
  </si>
  <si>
    <t>Loi 2017-020 sur la protection des données à caractère personnel (in French)</t>
  </si>
  <si>
    <t>http://tic.gov.mr/IMG/pdf/imp1fr-2.pdf</t>
  </si>
  <si>
    <t>Mauritius</t>
  </si>
  <si>
    <t>Data Protection Act No. 20/2017 (in English)</t>
  </si>
  <si>
    <t>https://www.ilo.org/dyn/natlex/docs/ELECTRONIC/108724/134563/F686980207/MUS108724.pdf</t>
  </si>
  <si>
    <t>Mexico</t>
  </si>
  <si>
    <t xml:space="preserve">Convenio para la Protección de las Personas con respecto al Tratamiento Automatizado de Datos de Carácter Personal y Protocolo Adicional al Convenio para la Protección de las Personas con Respecto al Tratamiento Automatizado de Datos de Carácter </t>
  </si>
  <si>
    <t>https://www.dof.gob.mx/nota_detalle.php?codigo=5539473&amp;amp</t>
  </si>
  <si>
    <t>Monaco</t>
  </si>
  <si>
    <t>Loi No. 1.165/1996 consolidée par la loi No.1,462/2018 (in French)</t>
  </si>
  <si>
    <t>https://journaldemonaco.gouv.mc/Journaux/2018/Journal-8389/Loi-n-1.462-du-28-juin-2018-renforcant-le-dispositif-de-lutte-contre-le-blanchiment-de-capitaux-le-financement-du-terrorisme-et-la-corruption</t>
  </si>
  <si>
    <t>Mongolia</t>
  </si>
  <si>
    <t>Law of Mongolia on Personal Data Protection (the “Data Protection Law”)</t>
  </si>
  <si>
    <t>https://www.iaac.mn/old/pdf/law_en/6_law_on_the_information_transparency_and_right_to_information.pdf</t>
  </si>
  <si>
    <t>Montenegro</t>
  </si>
  <si>
    <t> Law on Protection of Personal Data No. 79/2009, 70/2009, 44/2012, 22/2017 (in English)</t>
  </si>
  <si>
    <t>http://www.afapdp.org/wp-content/uploads/2012/01/Mont%C3%A9n%C3%A9gro-Personal-Data-Protection-Law-79-08-and-70-09.pdf</t>
  </si>
  <si>
    <t>Morocco</t>
  </si>
  <si>
    <t>Law No. 09-08/2009 on the protection of people toward data protection of a personal nature (in French)</t>
  </si>
  <si>
    <t>https://www.dgssi.gov.ma/sites/default/files/attached_files/loi_09-08protection_donnees_personnelles.pdf</t>
  </si>
  <si>
    <t>Namibia</t>
  </si>
  <si>
    <t>draft Data Protection Bill 2022 ('the Bill')</t>
  </si>
  <si>
    <t>https://action-namibia.org/wp-content/uploads/2022/10/Data-Protection-Draft-Bill-March-2022....pdf</t>
  </si>
  <si>
    <t>Nepal</t>
  </si>
  <si>
    <t>Individual Privacy Act, 2018 (2075)</t>
  </si>
  <si>
    <t>http://www.lawcommission.gov.np/en/wp-content/uploads/2019/07/The-Privacy-Act-2075-2018.pdf</t>
  </si>
  <si>
    <t>Netherlands</t>
  </si>
  <si>
    <t>Uitvoeringswet Algemene Verordening Gegevensbescherming (General Data Protection Regulation Implementation Act) (the “Data Protection Act”)</t>
  </si>
  <si>
    <t>https://wetten.overheid.nl/BWBR0040940/2019-02-19</t>
  </si>
  <si>
    <t>New Zealand</t>
  </si>
  <si>
    <t>Privacy Act 1993 (in English)</t>
  </si>
  <si>
    <t>http://www.legislation.govt.nz/act/public/1993/0028/latest/DLM296639.html</t>
  </si>
  <si>
    <t>Nicaragua</t>
  </si>
  <si>
    <t>Ley No. 787 Ley de Protección de Datos Personales (in Spanish)</t>
  </si>
  <si>
    <t>http://legislacion.asamblea.gob.ni/normaweb.nsf/9e314815a08d4a6206257265005d21f9/e5d37e9b4827fc06062579ed0076ce1d</t>
  </si>
  <si>
    <t>Niger</t>
  </si>
  <si>
    <t>Loi n°2017-28 du 03 Mai 2017 relative à la protection des données à caractère personnel, révisé en 2019 (in French)</t>
  </si>
  <si>
    <t>https://www.afapdp.org/wp-content/uploads/2017/02/Loi-n%c2%b02017-28-du-03-mai-2017.pdf</t>
  </si>
  <si>
    <t>Nigeria</t>
  </si>
  <si>
    <t>Nigerian Data Protection Act 2023 (in English)</t>
  </si>
  <si>
    <t>https://placng.org/i/wp-content/uploads/2023/06/Nigeria-Data-Protection-Act-2023.pdf</t>
  </si>
  <si>
    <t>North Macedonia</t>
  </si>
  <si>
    <t>Law on Personal Data Protection (Official&lt;br&gt;Gazette of the Republic of North Macedonia, no. 42/20 and 294/21, “DP Law”)</t>
  </si>
  <si>
    <t>https://www.refworld.org/pdfid/6290d1814.pdf</t>
  </si>
  <si>
    <t>Norway</t>
  </si>
  <si>
    <t>Personal Data Act 2018 (in Norwegian)</t>
  </si>
  <si>
    <t>Lov om behandling av personopplysninger (personopplysningsloven) - Lovdata</t>
  </si>
  <si>
    <t>Oman</t>
  </si>
  <si>
    <t>Personal Data Protection Law issued by Royal Decree 6/22</t>
  </si>
  <si>
    <t>https://mola.gov.om/Download.aspx?Path=royal/2022-0006%20Formatted.pdf</t>
  </si>
  <si>
    <t>Pakistan</t>
  </si>
  <si>
    <t>Personal Data Protection Bill 2021</t>
  </si>
  <si>
    <t>https://moitt.gov.pk/SiteImage/Misc/files/25821%20DPA%20Bill%20Consultation%20Draft(1).pdf</t>
  </si>
  <si>
    <t>Panama</t>
  </si>
  <si>
    <t>Decreto Ejecutivo N° 285 de 28 de mayo de 2021</t>
  </si>
  <si>
    <t>https://www.sijusa.com/wp-content/uploads/2022/04/DE_285_2021.pdf</t>
  </si>
  <si>
    <t>Paraguay</t>
  </si>
  <si>
    <t>Decreto Nº 8000/2017 “Por el cual se reglamenta la Ley 5830/2017 Que prohíbe la publicidad no autorizada por los usuarios titulares de telefonía móvil” (in Spanish)</t>
  </si>
  <si>
    <t>https://drive.google.com/file/d/1YJGCA1i7W5Ok_t_JlNkSXw8ae__zdQG-/view</t>
  </si>
  <si>
    <t>Peru</t>
  </si>
  <si>
    <t>Decreto Supremo N.° 003-2013-JUS&lt;br&gt;Reglamento de la Ley Nº 29733, Ley de Protección de Datos Personales</t>
  </si>
  <si>
    <t>https://www.gob.pe/institucion/minjus/normas-legales/1941246-003-2013-jus</t>
  </si>
  <si>
    <t>Philippines</t>
  </si>
  <si>
    <t>Republic act 10173 data privacy act of 2012</t>
  </si>
  <si>
    <t>http://www.lawphil.net/statutes/repacts/ra2012/ra_10173_2012.html</t>
  </si>
  <si>
    <t>Poland</t>
  </si>
  <si>
    <t>Act of 10 May 2018 on the Protection of Personal Data (the “Data Protection Act”)</t>
  </si>
  <si>
    <t>Portugal</t>
  </si>
  <si>
    <t>Act 43/2004 of 18 August – Comissão Nacional de Proteção de Dados (Portuguese DPA) Organisation and Function (the “Portuguese DPA Act”), as amended by the Data Protection Act</t>
  </si>
  <si>
    <t>https://diariodarepublica.pt/dr/legislacao-consolidada/lei/2004-122101697</t>
  </si>
  <si>
    <t>Qatar</t>
  </si>
  <si>
    <t>Law No. 13 of 2016 Concerning Privacy and Protection of Personal Data (in Arabic)</t>
  </si>
  <si>
    <t>https://www.ilo.org/dyn/natlex/natlex4.detail?p_lang=en&amp;amp</t>
  </si>
  <si>
    <t>Republic of Korea</t>
  </si>
  <si>
    <t>Personal Information Protection Act, 2020</t>
  </si>
  <si>
    <t>https://elaw.klri.re.kr/eng_service/lawView.do?hseq=53044&amp;amp</t>
  </si>
  <si>
    <t>Republic of Moldova</t>
  </si>
  <si>
    <t>Law No. 133/2011 on personal data Protection (in Russian)</t>
  </si>
  <si>
    <t>http://ilo.ch/dyn/natlex/natlex4.detail?p_lang=en&amp;amp</t>
  </si>
  <si>
    <t>p_classcount=13206,Privacy and Data Protection</t>
  </si>
  <si>
    <t>Romania</t>
  </si>
  <si>
    <t xml:space="preserve">Law No. 129 of 15 June 2018 re the Amendment and Supplementation of Law No. 102 of 2005 regarding the Organisation and Functioning of the National Supervisory Authority for Personal Data Processing and for repealing Law No. 677/2001 regarding </t>
  </si>
  <si>
    <t>https://www.dataprotection.ro/index.jsp?page=legislatie_primara&amp;amp</t>
  </si>
  <si>
    <t>Russian Federation</t>
  </si>
  <si>
    <t>Federal law no. 149-fz of july 27, 2006 on information, informational technologies and the protection of information</t>
  </si>
  <si>
    <t>https://www.wto.org/english/thewto_e/acc_e/rus_e/wtaccrus58_leg_369.pdf</t>
  </si>
  <si>
    <t>Rwanda</t>
  </si>
  <si>
    <t>Law n°058/2021 of 13/10/2021 relating to the protection of personal data and privacy (the “Data Protection Law”).</t>
  </si>
  <si>
    <t>https://www.dataguidance.com/sites/default/files/rw-government-gazette-dated-2021-10-15-no-special.pdf</t>
  </si>
  <si>
    <t>Saint Kitts and Nevis</t>
  </si>
  <si>
    <t>Data Protection Act 2018 (in English)</t>
  </si>
  <si>
    <t>https://www.dataguidance.com/sites/default/files/data_protection_act_5_of_2018.pdf</t>
  </si>
  <si>
    <t>Saint Lucia</t>
  </si>
  <si>
    <t>Data Protection Act, No 11 of 2011</t>
  </si>
  <si>
    <t>https://www.dataguidance.com/sites/default/files/act_11_of_2011.pdf</t>
  </si>
  <si>
    <t>Saint Vincent and the Grenadines</t>
  </si>
  <si>
    <t>Privacy Act of 2003</t>
  </si>
  <si>
    <t>San Marino</t>
  </si>
  <si>
    <t>Law No. 171 of 21 December 2018, Protection of Natural Persons with Regard to the Processing of Personal Data ('the Law')</t>
  </si>
  <si>
    <t>https://www.dataguidance.com/sites/default/files/law_21_december_2018_no._171_en.pdf</t>
  </si>
  <si>
    <t>Saudi Arabia</t>
  </si>
  <si>
    <t>Personal Data Protection Interim Regulations ("PDPIR")</t>
  </si>
  <si>
    <t>Senegal</t>
  </si>
  <si>
    <t>LOI n° 2008-12 du 25 janvier 2008 portant sur la Protection des données à caractère personnel (in French)</t>
  </si>
  <si>
    <t>http://www.centif.sn/Loi_2008_12.pdf</t>
  </si>
  <si>
    <t>Serbia</t>
  </si>
  <si>
    <t>Data Protection Act (in English)</t>
  </si>
  <si>
    <t>Refworld | Serbia: 2018 Law on Personal Data Protection</t>
  </si>
  <si>
    <t>Seychelles</t>
  </si>
  <si>
    <t>Data Protection Bill 2023</t>
  </si>
  <si>
    <t>https://www.ict.gov.sc/Documents/2023/BILL_DATA%20PROTECTION%20BILL%202023-16-03-2023.pdf</t>
  </si>
  <si>
    <t>Singapore</t>
  </si>
  <si>
    <t>Personal Data Protection (Amendment) Act 2020</t>
  </si>
  <si>
    <t>https://sso.agc.gov.sg/Acts-Supp/40-2020/</t>
  </si>
  <si>
    <t>Slovakia</t>
  </si>
  <si>
    <t>Act No. 18/2018 Coll., on the Protection of Personal Data and on Changing and Amending of Other Acts (the “Data Protection Act”)</t>
  </si>
  <si>
    <t>https://www.slov-lex.sk/pravne-predpisy/SK/ZZ/2018/18/20180525</t>
  </si>
  <si>
    <t>Slovenia</t>
  </si>
  <si>
    <t>Personal Data Protection Act (Zakon o varstvu osebnih podatkov</t>
  </si>
  <si>
    <t>South Africa</t>
  </si>
  <si>
    <t>Protection of Personal Information Act 4 of 2013 (in English)</t>
  </si>
  <si>
    <t>https://www.gov.za/sites/default/files/gcis_document/201409/3706726-11act4of2013protectionofpersonalinforcorrect.pdf</t>
  </si>
  <si>
    <t>Spain</t>
  </si>
  <si>
    <t>Ley Orgánica 3/2018, de 5 de diciembre, de Protección de Datos Personales y garantía de los derechos digitales (in Spanish)</t>
  </si>
  <si>
    <t>https://www.boe.es/eli/es/lo/2018/12/05/3/con</t>
  </si>
  <si>
    <t>Sri Lanka</t>
  </si>
  <si>
    <t>Personal Data Act No. 9 of 2022 (PDPA) - Draft</t>
  </si>
  <si>
    <t>https://www.parliament.lk/uploads/acts/gbills/English/6242.pdf</t>
  </si>
  <si>
    <t>Suriname</t>
  </si>
  <si>
    <t>Privacy and Data Protection (SPDP) Law (Draft)</t>
  </si>
  <si>
    <t>Sweden</t>
  </si>
  <si>
    <t>The Swedish Data Protection Act (2018:218) (Swe. lag (2018:218) med kompletterande bestämmelser till EU:s dataskyddsförordning) (the ”Data Protection Act”)</t>
  </si>
  <si>
    <t>https://www.riksdagen.se/sv/dokument-lagar/dokument/svensk-forfattningssamling/lag-2018218-med-kompletterande-bestammelser_sfs-2018-218</t>
  </si>
  <si>
    <t>Switzerland</t>
  </si>
  <si>
    <t>The Federal Act on Data Protection (FADP)</t>
  </si>
  <si>
    <t>https://www.fedlex.admin.ch/eli/cc/2022/491/en</t>
  </si>
  <si>
    <t>Syrian Arab Republic</t>
  </si>
  <si>
    <t>Law No. 12 (2024) on protecting E- personal data</t>
  </si>
  <si>
    <t>https://www.pministry.gov.sy/contents/28494/القانون-رقم-/-12/-لعام-2024-الخاص-بحماية-البيانات-الشخصية-الإلكترونية-على-الشبكة،-بهدف-الحفاظ-على-خصوصية-بيانات-المواطنين#:~:text=%E2%80%8Cج-%20إلزام%20المؤسسات%20والجهات%20والأفراد,بصيغتها%20الإلكترونية%20المنشورة%20على%20الشبكة.</t>
  </si>
  <si>
    <t>Tajikistan</t>
  </si>
  <si>
    <t>Law of the Republic of Tajikistan No 1537 about Personal Data Protection, 2018</t>
  </si>
  <si>
    <t>https://cis-legislation.com/document.fwx?rgn=108952</t>
  </si>
  <si>
    <t>Thailand</t>
  </si>
  <si>
    <t>Personal Data Protection Act, B. E. 2562, 2019 (in Thai)</t>
  </si>
  <si>
    <t>https://www.etda.or.th/app/webroot/content_files/13/files/The%20Personal%20Data%20Protection%20Act.pdf</t>
  </si>
  <si>
    <t>Togo</t>
  </si>
  <si>
    <t>Loi No. 14/2019 relativbe a la protection des donnees a caractere personnelle (In French)</t>
  </si>
  <si>
    <t>https://jo.gouv.tg/sites/default/files/JO/JOS_29_10_2019-64E%20ANNEE-N%C2%B026%20TER.pdf#page=1</t>
  </si>
  <si>
    <t>Trinidad and Tobago</t>
  </si>
  <si>
    <t>Data Protection Act 2011 (in English)</t>
  </si>
  <si>
    <t>http://www.ttparliament.org/legislations/a2011-13.pdf</t>
  </si>
  <si>
    <t>Tunisia</t>
  </si>
  <si>
    <t>Loi organique No. 63/2004 portant sur la protection des données à caractère personnelles (in Arabic)</t>
  </si>
  <si>
    <t>http://www.ins.tn/sites/default/files/Loi%2063-2004%20Fr.pdf</t>
  </si>
  <si>
    <t>Türkiye</t>
  </si>
  <si>
    <t>Law on the Protection of Personal Data No. 6698, 2016 (In Turkish)</t>
  </si>
  <si>
    <t>http://www.resmigazete.gov.tr/eskiler/2016/04/20160407-8.pdf</t>
  </si>
  <si>
    <t>Turkmenistan</t>
  </si>
  <si>
    <t>Law on Information on Private Life and its Protection No. 519-V (in Russian)</t>
  </si>
  <si>
    <t>https://www.ilo.org/dyn/natlex/docs/ELECTRONIC/107056/131641/F419973633/519.pdf</t>
  </si>
  <si>
    <t>Uganda</t>
  </si>
  <si>
    <t>The Data Protection and Privacy Act 2019 (in English)</t>
  </si>
  <si>
    <t>https://ict.go.ug/wp-content/uploads/2019/03/Data-Protection-and-Privacy-Act-2019.pdf</t>
  </si>
  <si>
    <t>Ukraine</t>
  </si>
  <si>
    <t>Law of Ukraine No. 2297 VI 'On Personal Data Protection</t>
  </si>
  <si>
    <t>https://www.ilo.org/dyn/natlex/docs/ELECTRONIC/87898/103340/F-1394242499/PDF87898_eng.pdf</t>
  </si>
  <si>
    <t>United Arab Emirates</t>
  </si>
  <si>
    <t>Federal Decree Law No. 45 of 2021 on personal data protection</t>
  </si>
  <si>
    <t>United Kingdom of Great Britain and Northern Ireland</t>
  </si>
  <si>
    <t>UK Data Protection Act 2018 (the "Data Protection Act")</t>
  </si>
  <si>
    <t>https://www.legislation.gov.uk/ukpga/2018/12/contents/enacted</t>
  </si>
  <si>
    <t>United Republic of Tanzania</t>
  </si>
  <si>
    <t>The Personal Data Protection Act No. 11 of 2022 (the Act)</t>
  </si>
  <si>
    <t>https://oagmis.agctz.go.tz/portal/acts/237</t>
  </si>
  <si>
    <t>United States of America</t>
  </si>
  <si>
    <t>Federal Trade Commission Act 15 (in English)</t>
  </si>
  <si>
    <t>https://www.ftc.gov/sites/default/files/documents/statutes/federal-trade-commission-act/ftc_act_incorporatingus_safe_web_act.pdf</t>
  </si>
  <si>
    <t>Uruguay</t>
  </si>
  <si>
    <t>La Ley 18.331 Protección de Datos Personales y Acción de Habeas Data del 11 agosto del año 2008 y el Decreto reglamentario 414/2009 (in Spanish)</t>
  </si>
  <si>
    <t>https://www.impo.com.uy/bases/leyes/18331-2008</t>
  </si>
  <si>
    <t>Uzbekistan</t>
  </si>
  <si>
    <t>Law No. ZRU-547, On Personal Data, dated 2 July 2019 (in Russian)</t>
  </si>
  <si>
    <t>https://cis-legislation.com/document.fwx?rgn=116961</t>
  </si>
  <si>
    <t>Viet Nam</t>
  </si>
  <si>
    <t>Decree No. 53/2022/ND-CP of the Government dated 15 August 2022 elaborating a number of articles of the Law on Cybersecurity of Vietnam (“Decree 53”)</t>
  </si>
  <si>
    <t>Yemen</t>
  </si>
  <si>
    <t>Law of the Right of Access to Information 2012 (in English)</t>
  </si>
  <si>
    <t>http://www.right2info.org/resources/publications/laws-1/laws_yemen</t>
  </si>
  <si>
    <t>Zambia</t>
  </si>
  <si>
    <t>Data Protection Act, 2021 (in English)</t>
  </si>
  <si>
    <t>https://www.parliament.gov.zm/sites/default/files/documents/acts/Act%20No.%203%20The%20Data%20Protection%20Act%202021_0.pdf</t>
  </si>
  <si>
    <t>Zimbabwe</t>
  </si>
  <si>
    <t>https://www.veritaszim.net/sites/veritas_d/files/Data%20Protection%20Act%205%20of%202021.pdf</t>
  </si>
  <si>
    <t>Congo</t>
  </si>
  <si>
    <t>Loi n° 29-2019 du 10 octobre 2019 portant protection des données à caractère personnel (in French)</t>
  </si>
  <si>
    <t>https://www.sgg.cg/JO/2019/congo-jo-2019-45.pdf</t>
  </si>
  <si>
    <t>Equatorial Guinea</t>
  </si>
  <si>
    <t>Law No. 1/2016, Law on Personal Data Protection</t>
  </si>
  <si>
    <t>https://platform.dataguidance.com/notes/equatorial-guinea-data-protection-overview</t>
  </si>
  <si>
    <t>Sao Tome and Principe</t>
  </si>
  <si>
    <t>Data Protection Law 2016. Lei N° 3/2016 - Protecção de Dados Pessoais (in Portuguese)</t>
  </si>
  <si>
    <t>https://www2.camara.leg.br/saotomeeprincipe/diarios-da-an/x-legislatura/ii-serie/3.a-sessao-legislativa/DAN01-IIS.pdf/view</t>
  </si>
  <si>
    <t>Somalia</t>
  </si>
  <si>
    <t>Law no. 005 of 2023, Data protection Act</t>
  </si>
  <si>
    <t>https://www.dataguidance.com/sites/default/files/somalia_data_protection_act-2.pdf</t>
  </si>
  <si>
    <t>Czechia</t>
  </si>
  <si>
    <t>Personal Data Processing Act (Act No. 110/2019 Coll.)</t>
  </si>
  <si>
    <t>No</t>
  </si>
  <si>
    <t>Negara</t>
  </si>
  <si>
    <t>Nama aturan</t>
  </si>
  <si>
    <t>Kategori PDP</t>
  </si>
  <si>
    <t>Sumber</t>
  </si>
  <si>
    <t>Law No. 124/2024 on Personal Data Protection</t>
  </si>
  <si>
    <t>Khusus</t>
  </si>
  <si>
    <t>https://idp.al/wp-content/uploads/2025/03/Law-no.124-2024.pdf</t>
  </si>
  <si>
    <t>Personal Data Protection Law No. 25,326</t>
  </si>
  <si>
    <t>https://www.unodc.org/cld/uploads/res/uncac/LegalLibrary/Argentina/Laws/Argentina%20Personal%20Data%20Protection%20Act%202000.pdf</t>
  </si>
  <si>
    <t>Privacy Act 1988</t>
  </si>
  <si>
    <t>https://www.legislation.gov.au/C2004A03712/latest/versions</t>
  </si>
  <si>
    <t>Law No. 30 of 2018 with Respect to Personal Data Protection (PDPL) and implementing resolutions</t>
  </si>
  <si>
    <t>https://www.mola.gov.bh/MediaManager/Media/Documents/Laws/Batch3/L3018.pdf</t>
  </si>
  <si>
    <t>Belum ada UU PDP komprehensif yang berlaku. Rancangan terbaru: Draft Personal Data Protection Ordinance, 2025</t>
  </si>
  <si>
    <t>Tidak ada</t>
  </si>
  <si>
    <t>https://iapp.org/news/a/notes-on-the-updated-global-privacy-law-and-dpa-directory-and-major-privacy-developments</t>
  </si>
  <si>
    <t>Data Protection Act, 2019-29</t>
  </si>
  <si>
    <t>https://www.gov.bb/General/data-protection-commissioner</t>
  </si>
  <si>
    <t>Personal Data Protection of 7 May 2021 No. 99-Z (Data Protection Law)</t>
  </si>
  <si>
    <t>Loi n° 2009-09 of may 22, 2009Dealing with the protection of Personally Identifiable Information (PII) in the Republic of Benin.</t>
  </si>
  <si>
    <t>Bhutan Information, Communications and Media Act 2018</t>
  </si>
  <si>
    <t>Parsial</t>
  </si>
  <si>
    <t>Belum ada UU PDP komprehensif yang berlaku. Status terakhir: Bill of Personal Data Protection</t>
  </si>
  <si>
    <t>https://www.dlapiperdataprotection.com/guide.pdf?c=BO</t>
  </si>
  <si>
    <t>Law on Personal Data Protection (Official Gazette of BiH No. 12/2025)</t>
  </si>
  <si>
    <t>https://advokatskafirmasajic.com/blog/new-personal-data-protection-legislation/</t>
  </si>
  <si>
    <t>Data Protection Act, Act No. 18 of 2024</t>
  </si>
  <si>
    <t>https://botswanalaws.com/consolidated-statutes/principle-legislation/data-protection</t>
  </si>
  <si>
    <t>https://dv.parliament.bg/DVWeb/showMaterialDV.jsp;jsessionid=17AC48BEC0100FB28FDA0294DE0C9CC0?idMat=135056</t>
  </si>
  <si>
    <t>Article 32 of the Law on Electronic Commerce, 2019; Draft Law on Personal Data Protection</t>
  </si>
  <si>
    <t>https://www.dlapiperdataprotection.com/guide.pdf?c=KH</t>
  </si>
  <si>
    <t>Law No. 2024/017 of 23 December 2024 relating to personal data protection</t>
  </si>
  <si>
    <t>https://www.prc.cm/en/news/the-acts/laws/7602-law-no-2024-017-of-23-december-2024-to-authorize-the-president-of-the-republic-to-ratify-the-beijing-treaty-on-audio-visual-performances-adopted-in-beijing-china-on-24-june-2019</t>
  </si>
  <si>
    <t>Personal Information Protection and Electronic Documents Act (PIPEDA)</t>
  </si>
  <si>
    <t>https://laws-lois.justice.gc.ca/eng/acts/P-8.6/</t>
  </si>
  <si>
    <t>Law No. 19,628 as amended by Law No. 21,719 on the Protection of Personal Data</t>
  </si>
  <si>
    <t>https://www.carey.cl/en/law-no-21719-amending-law-no-19628-on-the-protection-of-private-life-is-published-in-the-chilean-official-gazette/</t>
  </si>
  <si>
    <t>Personal Information Protection Law (PIPL)</t>
  </si>
  <si>
    <t>https://en.spp.gov.cn/2021-12/29/c_948419_2.htm</t>
  </si>
  <si>
    <t>Law No. 8968 on the Protection of the Person Regarding the Processing of Personal Data</t>
  </si>
  <si>
    <t>https://www.dlapiperdataprotection.com/index.html?c=CR&amp;t=law</t>
  </si>
  <si>
    <t>Digital Code 2023 (Title III on personal data protection)</t>
  </si>
  <si>
    <t>https://www.dlapiperdataprotection.com/guide.pdf?c=CD</t>
  </si>
  <si>
    <t>Personal Data Protection Organic Law</t>
  </si>
  <si>
    <t>Personal Data Protection Proclamation No. 1321/2024</t>
  </si>
  <si>
    <t>https://www.dataguidance.com/sites/default/files/personal_data_protection_proclamation_1321-2024.pdf</t>
  </si>
  <si>
    <t>Personal Data Protection and Privacy Act, 2025</t>
  </si>
  <si>
    <t>https://www.africanlawbusiness.com/uncategorized/key-features-of-the-gambian-personal-data-protection-and-privacy-act/</t>
  </si>
  <si>
    <t>Belum ada UU PDP komprehensif yang berlaku. Status terakhir: legislative initiative no. 5971</t>
  </si>
  <si>
    <t>https://www-congreso-gob-gt.translate.goog/detalle_pdf/iniciativas/5971?_x_tr_sl=es&amp;_x_tr_tl=en&amp;_x_tr_hl=en&amp;_x_tr_pto=sc#gsc.tab=0</t>
  </si>
  <si>
    <t>Data Protection Act 18 of 2023</t>
  </si>
  <si>
    <t>https://www.parliament.gov.gy/publications/acts-of-parliament/dataprotectionact18of2023</t>
  </si>
  <si>
    <t>Law for Transparency and Access to Public Information (Decree No. 170-2006) and draft personal data protection law</t>
  </si>
  <si>
    <t>https://www.dlapiperdataprotection.com/index.html?c=HN&amp;t=law</t>
  </si>
  <si>
    <t>http://njt.hu/translated/doc/J2011T0112P_20200101_FIN.PDF</t>
  </si>
  <si>
    <t>Digital Personal Data Protection Act, 2023 and Digital Personal Data Protection Rules, 2025</t>
  </si>
  <si>
    <t>https://www.meity.gov.in/static/uploads/2024/06/2bf1f0e9f04e6fb4f8fef35e82c42aa5.pdf | https://www.meity.gov.in/static/uploads/2025/11/53450e6e5dc0bfa85ebd78686cadad39.pdf</t>
  </si>
  <si>
    <t>Belum ada UU PDP komprehensif yang berlaku. Status terakhir: Bill on Protection of Data and Privacy in Cyberspace</t>
  </si>
  <si>
    <t>https://www.dlapiperdataprotection.com/guide.pdf?c=IR</t>
  </si>
  <si>
    <t>Protection of Privacy Law, 1981, as amended including Amendment No. 13 (2024)</t>
  </si>
  <si>
    <t>https://www.gov.il/BlobFolder/legalinfo/legislation/en/ProtectionofPrivacyLaw57411981unofficialtranslatio.pdf | https://www.gov.il/BlobFolder/legalinfo/the_board_role/en/Role_of_the_Board.pdf</t>
  </si>
  <si>
    <t>https://www.gazzettaufficiale.it/atto/serie_generale/caricaDettaglioAtto/originario?atto.dataPubblicazioneGazzetta=2018-09-04&amp;atto.codiceRedazionale=18G00129&amp;elenco30giorni=true</t>
  </si>
  <si>
    <t>Act on the Protection of Personal Information (Act No. 57 of 2003; the “APPI”)</t>
  </si>
  <si>
    <t>http://www.cas.go.jp/jp/seisaku/hourei/data/APPI.pdf</t>
  </si>
  <si>
    <t>Decision No. 42 of 2021 on Data Privacy Protection Regulation and sectoral rules</t>
  </si>
  <si>
    <t>Law No. 81/2018 on Electronic Transactions and Personal Data</t>
  </si>
  <si>
    <t>https://smex.org/wp-content/uploads/2018/10/E-transaction-law-Lebanon-Official-Gazette-English.pdf</t>
  </si>
  <si>
    <t>https://www.gesetze.li/konso/2018272000?search_text=datenschutz&amp;search_loc=titel&amp;lrnr=&amp;lgblid_von=&amp;observe_date=11.04.2019</t>
  </si>
  <si>
    <t>Data Protection Act, 2024</t>
  </si>
  <si>
    <t>https://www.michalsons.com/blog/the-malawi-data-protection-act/74234</t>
  </si>
  <si>
    <t>Personal Data Protection Act 2010, as amended by the Personal Data Protection (Amendment) Act 2024</t>
  </si>
  <si>
    <t>https://www.pdp.gov.my/ppdpv1/en/akta/personal-data-protection-amendment-act-2024/</t>
  </si>
  <si>
    <t>Belum ada UU PDP komprehensif yang berlaku. Status terakhir: Privacy and Personal Data Protection Bill (draft)</t>
  </si>
  <si>
    <t>Federal Law on Protection of Personal Data Held by Private Parties (LFPDPPP)</t>
  </si>
  <si>
    <t>https://www.duanemorris.com/site/static/Mexico_Federal_Protection_Law_Personal_Data.pdf</t>
  </si>
  <si>
    <t>Law No. 1.565 of 3 December 2024 on the protection of personal data</t>
  </si>
  <si>
    <t>https://www.gouv.mc/en/news/monaco-adopts-personal-data-protection-legislation-in-line-with-the-highest-european-standards</t>
  </si>
  <si>
    <t>Law on Protection of Personal Data No. 79/2009, 70/2009, 44/2012, 22/2017 (in English)</t>
  </si>
  <si>
    <t>Belum ada UU PDP komprehensif yang berlaku. Status terakhir: draft Data Protection Bill 2022</t>
  </si>
  <si>
    <t>Privacy Act 2020</t>
  </si>
  <si>
    <t>https://www.legislation.govt.nz/act/public/2020/0031/latest/LMS23223.html</t>
  </si>
  <si>
    <t>Law on Personal Data Protection (Official Gazette of the Republic of North Macedonia, no. 42/20 and 294/21, “DP Law”)</t>
  </si>
  <si>
    <t>Belum ada UU PDP komprehensif yang berlaku. Status terakhir: Personal Data Protection Bill 2021</t>
  </si>
  <si>
    <t>Law No. 81 of 2019 on Personal Data Protection</t>
  </si>
  <si>
    <t>https://www.dlapiperdataprotection.com/guide.pdf?c=PA</t>
  </si>
  <si>
    <t>Personal Data Protection Law No. 7593/2025</t>
  </si>
  <si>
    <t>https://www.ferrere.com/en/news/paraguay-adopts-personal-data-protection-law/</t>
  </si>
  <si>
    <t>Law No. 29733 on Personal Data Protection and Supreme Decree No. 016-2024-JUS</t>
  </si>
  <si>
    <t>https://www.dlapiperdataprotection.com/index.html?c=PE&amp;t=law</t>
  </si>
  <si>
    <t>Act of 10 May 2018 on the Protection of Personal Data</t>
  </si>
  <si>
    <t>https://uodo.gov.pl/en/660/1464</t>
  </si>
  <si>
    <t>Law No. 58/2019 implementing the GDPR in Portugal</t>
  </si>
  <si>
    <t>https://www.dlapiperdataprotection.com/index.html?c=PT&amp;t=law</t>
  </si>
  <si>
    <t>https://www.ilo.org/dyn/natlex/natlex4.detail?p_lang=en&amp;p_isn=105417&amp;p_country=QAT&amp;p_classification=01</t>
  </si>
  <si>
    <t>https://elaw.klri.re.kr/eng_service/lawView.do?hseq=53044&amp;lang=ENG</t>
  </si>
  <si>
    <t>Law No. 195/2024 on Personal Data Protection</t>
  </si>
  <si>
    <t>https://datepersonale.md/wp-content/uploads/2024/09/Law-no.-195-2024-on-personal-data-protection-1.pdf</t>
  </si>
  <si>
    <t>Law No. 190/2018 on measures implementing the GDPR</t>
  </si>
  <si>
    <t>https://www.dataprotection.ro/index.jsp?lang=en&amp;page=Legea_nr_190_2018</t>
  </si>
  <si>
    <t>Federal Law No. 152-FZ on Personal Data</t>
  </si>
  <si>
    <t>https://cis-legislation.com/document.fwx?rgn=13749</t>
  </si>
  <si>
    <t>Privacy Act, 2003</t>
  </si>
  <si>
    <t>https://www.worldlii.org/int/other/NDPrivLegis/2003/3.pdf</t>
  </si>
  <si>
    <t>Personal Data Protection Law (PDPL) and Implementing Regulations</t>
  </si>
  <si>
    <t>https://dgp.sdaia.gov.sa/wps/portal/pdp/knowledgecenter/details/GPDPL/</t>
  </si>
  <si>
    <t>Data Protection Act, 2023 (Act 24 of 2023)</t>
  </si>
  <si>
    <t>https://www.gazette.sc/sites/default/files/2023-12/Act%2024%20-%202023%20-%20Data%20Protection%20Act%202023.pdf</t>
  </si>
  <si>
    <t>Personal Data Protection Act (Zakon o varstvu osebnih podatkov; ZVOP-1) (the “Current Data Protection Act”)</t>
  </si>
  <si>
    <t>http://pisrs.si/Pis.web/pregledPredpisa?id=ZAKO3906</t>
  </si>
  <si>
    <t>Personal Data Protection Act No. 9 of 2022, as amended by Personal Data Protection (Amendment) Act No. 22 of 2025</t>
  </si>
  <si>
    <t>https://www.parliament.lk/uploads/acts/gbills/english/6242.pdf | https://www.dpa.gov.lk/</t>
  </si>
  <si>
    <t>Belum ada UU PDP komprehensif yang berlaku. Status terakhir: Privacy and Data Protection (SPDP) Law (draft)</t>
  </si>
  <si>
    <t>https://dpocaribbean.com/privacy-laws</t>
  </si>
  <si>
    <t>Law No. 6698 on the Protection of Personal Data, as amended in 2024</t>
  </si>
  <si>
    <t>https://www.kvkk.gov.tr/Icerik/6649/Personal-Data-Protection-Law</t>
  </si>
  <si>
    <t>Federal Decree-Law No. 45 of 2021 on the Protection of Personal Data</t>
  </si>
  <si>
    <t>https://u.ae/en/about-the-uae/digital-uae/data/data-protection-laws</t>
  </si>
  <si>
    <t>UK GDPR and Data Protection Act 2018, as amended by the Data (Use and Access) Act 2025</t>
  </si>
  <si>
    <t>https://www.legislation.gov.uk/ukpga/2018/12/contents/enacted | https://www.legislation.gov.uk/ukpga/2025/18</t>
  </si>
  <si>
    <t>FTC Act section 5 plus state privacy laws, including California CCPA/CPRA</t>
  </si>
  <si>
    <t>https://oag.ca.gov/privacy/ccpa</t>
  </si>
  <si>
    <t>Law No. 91/2025/QH15 on Personal Data Protection and Decree No. 356/2025/ND-CP</t>
  </si>
  <si>
    <t>https://vanban.chinhphu.vn/?classid=1&amp;docid=214590&amp;pageid=27160&amp;typegroupid=3 | https://vanban.chinhphu.vn/?docid=216387&amp;pageid=27160</t>
  </si>
  <si>
    <t>Law of the Right of Access to Information 2012</t>
  </si>
  <si>
    <t>https://uoou.gov.cz/media/act-no-110-2019-coll.pdf</t>
  </si>
  <si>
    <t>Kategori Regulasi Pelindungan Data Pribadi</t>
  </si>
  <si>
    <t>Tidak Diketahui</t>
  </si>
  <si>
    <t>API / system integration</t>
  </si>
  <si>
    <t>Secure file transfer</t>
  </si>
  <si>
    <t>Email</t>
  </si>
  <si>
    <t>Cloud / shared platform</t>
  </si>
  <si>
    <t>Remote access to system</t>
  </si>
  <si>
    <t>Physical document or media</t>
  </si>
  <si>
    <t>Other</t>
  </si>
  <si>
    <r>
      <t xml:space="preserve">Apakah pihak penerima memiliki kontrol teknis dan operasional terkait Pelindungan Data Pribadi?
</t>
    </r>
    <r>
      <rPr>
        <i/>
        <sz val="11"/>
        <color rgb="FF0070C0"/>
        <rFont val="Arial"/>
        <family val="2"/>
      </rPr>
      <t>Kontrol teknis dan operasional yang memadai untuk mencegah salah konfigurasi, kehilangan Data Pribadi, kerusakan data, serta untuk memastikan pemulihan data apabila terjadi gangguan?</t>
    </r>
  </si>
  <si>
    <t>Apakah terdapat perjanjian atau pengaturan tertulis yang memadai untuk membatasi penggunaan Data Pribadi hanya sesuai tujuan transfer, serta mencegah pengungkapan tanpa otorisasi atau penyalahgunaan oleh pihak penerima?</t>
  </si>
  <si>
    <t>Memadai</t>
  </si>
  <si>
    <t>Ya</t>
  </si>
  <si>
    <t>Tidak Memadai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</si>
</sst>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6"/>
      <color theme="1"/>
      <name val="Calibri"/>
      <family val="2"/>
      <scheme val="minor"/>
    </font>
    <font>
      <b/>
      <sz val="14"/>
      <color theme="1"/>
      <name val="Calibri"/>
      <family val="2"/>
      <scheme val="minor"/>
    </font>
    <font>
      <sz val="10"/>
      <name val="Arial"/>
      <family val="2"/>
    </font>
    <font>
      <u/>
      <sz val="11"/>
      <color theme="10"/>
      <name val="Calibri"/>
      <family val="2"/>
      <scheme val="minor"/>
    </font>
    <font>
      <b/>
      <sz val="18"/>
      <color theme="1"/>
      <name val="Calibri"/>
      <family val="2"/>
      <scheme val="minor"/>
    </font>
    <font>
      <sz val="11"/>
      <color rgb="FF000000"/>
      <name val="Calibri"/>
      <family val="2"/>
      <scheme val="minor"/>
    </font>
    <font>
      <b/>
      <sz val="13"/>
      <color theme="1"/>
      <name val="Calibri"/>
      <family val="2"/>
      <scheme val="minor"/>
    </font>
    <font>
      <b/>
      <sz val="24"/>
      <color theme="0"/>
      <name val="Arial"/>
      <family val="2"/>
    </font>
    <font>
      <sz val="11"/>
      <color theme="1"/>
      <name val="Arial"/>
      <family val="2"/>
    </font>
    <font>
      <b/>
      <sz val="11"/>
      <color theme="1"/>
      <name val="Tahoma"/>
      <family val="2"/>
    </font>
    <font>
      <sz val="11"/>
      <color theme="1"/>
      <name val="Tahoma"/>
      <family val="2"/>
    </font>
    <font>
      <sz val="11"/>
      <name val="Arial"/>
      <family val="2"/>
    </font>
    <font>
      <i/>
      <sz val="11"/>
      <color theme="1" tint="0.499984740745262"/>
      <name val="Arial"/>
      <family val="2"/>
    </font>
    <font>
      <b/>
      <sz val="24"/>
      <color theme="1"/>
      <name val="Arial"/>
      <family val="2"/>
    </font>
    <font>
      <b/>
      <sz val="11"/>
      <color rgb="FF000000"/>
      <name val="Arial"/>
      <family val="2"/>
    </font>
    <font>
      <i/>
      <sz val="11"/>
      <color rgb="FF0070C0"/>
      <name val="Arial"/>
      <family val="2"/>
    </font>
    <font>
      <b/>
      <sz val="11"/>
      <color theme="1"/>
      <name val="Arial"/>
      <family val="2"/>
    </font>
    <font>
      <i/>
      <sz val="11"/>
      <color theme="4"/>
      <name val="Arial"/>
      <family val="2"/>
    </font>
    <font>
      <sz val="11"/>
      <color rgb="FF000000"/>
      <name val="Arial"/>
      <family val="2"/>
    </font>
    <font>
      <i/>
      <sz val="11"/>
      <color theme="2" tint="-0.499984740745262"/>
      <name val="Arial"/>
      <family val="2"/>
    </font>
    <font>
      <sz val="11"/>
      <color theme="1"/>
      <name val="Arial"/>
      <family val="2"/>
    </font>
    <font>
      <b/>
      <sz val="11"/>
      <color rgb="FFFFFFFF"/>
      <name val="Arial"/>
      <family val="2"/>
    </font>
    <font>
      <b/>
      <sz val="11"/>
      <name val="Arial"/>
      <family val="2"/>
    </font>
    <font>
      <u/>
      <sz val="11"/>
      <color theme="10"/>
      <name val="Arial"/>
      <family val="2"/>
    </font>
  </fonts>
  <fills count="13">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1"/>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2"/>
        <bgColor indexed="64"/>
      </patternFill>
    </fill>
    <fill>
      <patternFill patternType="solid">
        <fgColor rgb="FF1F4E78"/>
      </patternFill>
    </fill>
    <fill>
      <patternFill patternType="solid">
        <fgColor rgb="FFE2F0D9"/>
      </patternFill>
    </fill>
    <fill>
      <patternFill patternType="solid">
        <fgColor rgb="FFFCE4D6"/>
      </patternFill>
    </fill>
    <fill>
      <patternFill patternType="solid">
        <fgColor rgb="FFFFF2CC"/>
      </patternFill>
    </fill>
  </fills>
  <borders count="2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auto="1"/>
      </top>
      <bottom style="thin">
        <color auto="1"/>
      </bottom>
      <diagonal/>
    </border>
    <border>
      <left/>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auto="1"/>
      </bottom>
      <diagonal/>
    </border>
    <border>
      <left/>
      <right/>
      <top style="medium">
        <color indexed="64"/>
      </top>
      <bottom style="medium">
        <color indexed="64"/>
      </bottom>
      <diagonal/>
    </border>
    <border>
      <left/>
      <right/>
      <top/>
      <bottom style="thin">
        <color rgb="FFBFBFBF"/>
      </bottom>
      <diagonal/>
    </border>
    <border>
      <left/>
      <right/>
      <top/>
      <bottom style="thin">
        <color rgb="FFD9D9D9"/>
      </bottom>
      <diagonal/>
    </border>
  </borders>
  <cellStyleXfs count="3">
    <xf numFmtId="0" fontId="0" fillId="0" borderId="0"/>
    <xf numFmtId="0" fontId="3" fillId="0" borderId="0"/>
    <xf numFmtId="0" fontId="4" fillId="0" borderId="0" applyNumberFormat="0" applyFill="0" applyBorder="0" applyAlignment="0" applyProtection="0"/>
  </cellStyleXfs>
  <cellXfs count="68">
    <xf numFmtId="0" fontId="0" fillId="0" borderId="0" xfId="0"/>
    <xf numFmtId="0" fontId="0" fillId="2" borderId="0" xfId="0" applyFill="1"/>
    <xf numFmtId="0" fontId="2" fillId="2" borderId="0" xfId="0" applyFont="1" applyFill="1"/>
    <xf numFmtId="0" fontId="0" fillId="3" borderId="0" xfId="0" applyFill="1"/>
    <xf numFmtId="0" fontId="5" fillId="2" borderId="0" xfId="0" applyFont="1" applyFill="1"/>
    <xf numFmtId="0" fontId="6" fillId="4" borderId="0" xfId="0" applyFont="1" applyFill="1"/>
    <xf numFmtId="0" fontId="7" fillId="2" borderId="14" xfId="0" applyFont="1" applyFill="1" applyBorder="1" applyAlignment="1">
      <alignment horizontal="left"/>
    </xf>
    <xf numFmtId="0" fontId="1" fillId="2" borderId="0" xfId="0" applyFont="1" applyFill="1"/>
    <xf numFmtId="0" fontId="7" fillId="2" borderId="17" xfId="0" applyFont="1" applyFill="1" applyBorder="1" applyAlignment="1">
      <alignment horizontal="left"/>
    </xf>
    <xf numFmtId="0" fontId="7" fillId="2" borderId="20" xfId="0" applyFont="1" applyFill="1" applyBorder="1" applyAlignment="1">
      <alignment horizontal="left"/>
    </xf>
    <xf numFmtId="0" fontId="0" fillId="2" borderId="21" xfId="0" applyFill="1" applyBorder="1"/>
    <xf numFmtId="0" fontId="0" fillId="2" borderId="15" xfId="0" applyFill="1" applyBorder="1"/>
    <xf numFmtId="0" fontId="0" fillId="2" borderId="18" xfId="0" applyFill="1" applyBorder="1"/>
    <xf numFmtId="0" fontId="10" fillId="7" borderId="0" xfId="0" applyFont="1" applyFill="1"/>
    <xf numFmtId="0" fontId="11" fillId="0" borderId="0" xfId="0" applyFont="1"/>
    <xf numFmtId="0" fontId="15" fillId="8" borderId="11" xfId="0" applyFont="1" applyFill="1" applyBorder="1" applyAlignment="1">
      <alignment horizontal="center" vertical="top" wrapText="1"/>
    </xf>
    <xf numFmtId="0" fontId="20" fillId="0" borderId="11" xfId="0" applyFont="1" applyBorder="1" applyAlignment="1">
      <alignment horizontal="left" vertical="top" wrapText="1"/>
    </xf>
    <xf numFmtId="0" fontId="9" fillId="8" borderId="0" xfId="0" applyFont="1" applyFill="1" applyAlignment="1">
      <alignment horizontal="left" vertical="top" wrapText="1"/>
    </xf>
    <xf numFmtId="0" fontId="12" fillId="8" borderId="11" xfId="0" applyFont="1" applyFill="1" applyBorder="1" applyAlignment="1">
      <alignment horizontal="left" vertical="top" wrapText="1"/>
    </xf>
    <xf numFmtId="0" fontId="4" fillId="0" borderId="0" xfId="2"/>
    <xf numFmtId="0" fontId="14" fillId="3" borderId="0" xfId="0" applyFont="1" applyFill="1" applyAlignment="1">
      <alignment horizontal="left"/>
    </xf>
    <xf numFmtId="0" fontId="8" fillId="6" borderId="11" xfId="0" applyFont="1" applyFill="1" applyBorder="1" applyAlignment="1">
      <alignment horizontal="center" vertical="center" wrapText="1"/>
    </xf>
    <xf numFmtId="0" fontId="12" fillId="0" borderId="11" xfId="0" applyFont="1" applyBorder="1" applyAlignment="1">
      <alignment horizontal="left" vertical="top" wrapText="1"/>
    </xf>
    <xf numFmtId="0" fontId="13" fillId="0" borderId="11" xfId="0" applyFont="1" applyBorder="1" applyAlignment="1">
      <alignment horizontal="left" vertical="top" wrapText="1"/>
    </xf>
    <xf numFmtId="0" fontId="7" fillId="2" borderId="19" xfId="0" applyFont="1" applyFill="1" applyBorder="1" applyAlignment="1">
      <alignment horizontal="left"/>
    </xf>
    <xf numFmtId="0" fontId="7" fillId="2" borderId="20" xfId="0" applyFont="1" applyFill="1" applyBorder="1" applyAlignment="1">
      <alignment horizontal="left"/>
    </xf>
    <xf numFmtId="0" fontId="7" fillId="2" borderId="13" xfId="0" applyFont="1" applyFill="1" applyBorder="1" applyAlignment="1">
      <alignment horizontal="left"/>
    </xf>
    <xf numFmtId="0" fontId="7" fillId="2" borderId="14" xfId="0" applyFont="1" applyFill="1" applyBorder="1" applyAlignment="1">
      <alignment horizontal="left"/>
    </xf>
    <xf numFmtId="0" fontId="7" fillId="2" borderId="16" xfId="0" applyFont="1" applyFill="1" applyBorder="1" applyAlignment="1">
      <alignment horizontal="left"/>
    </xf>
    <xf numFmtId="0" fontId="7" fillId="2" borderId="17" xfId="0" applyFont="1" applyFill="1" applyBorder="1" applyAlignment="1">
      <alignment horizontal="left"/>
    </xf>
    <xf numFmtId="0" fontId="21" fillId="8" borderId="7" xfId="0" applyFont="1" applyFill="1" applyBorder="1" applyAlignment="1">
      <alignment horizontal="left" vertical="top" wrapText="1"/>
    </xf>
    <xf numFmtId="0" fontId="9" fillId="8" borderId="8" xfId="0" applyFont="1" applyFill="1" applyBorder="1" applyAlignment="1">
      <alignment horizontal="left" vertical="top" wrapText="1"/>
    </xf>
    <xf numFmtId="0" fontId="9" fillId="8" borderId="7" xfId="0" applyFont="1" applyFill="1" applyBorder="1" applyAlignment="1">
      <alignment horizontal="left" vertical="top" wrapText="1"/>
    </xf>
    <xf numFmtId="0" fontId="15" fillId="0" borderId="11" xfId="0" applyFont="1" applyBorder="1" applyAlignment="1">
      <alignment horizontal="center" vertical="center" wrapText="1"/>
    </xf>
    <xf numFmtId="0" fontId="9" fillId="0" borderId="11" xfId="0" applyFont="1" applyBorder="1" applyAlignment="1">
      <alignment horizontal="left" vertical="top" wrapText="1"/>
    </xf>
    <xf numFmtId="0" fontId="9" fillId="0" borderId="11" xfId="0" applyFont="1" applyBorder="1" applyAlignment="1">
      <alignment horizontal="center" vertical="top"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9" fillId="8" borderId="7" xfId="0" applyFont="1" applyFill="1" applyBorder="1" applyAlignment="1">
      <alignment horizontal="left" vertical="top" wrapText="1"/>
    </xf>
    <xf numFmtId="0" fontId="19" fillId="8" borderId="8"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9" fillId="8" borderId="9" xfId="0" applyFont="1" applyFill="1" applyBorder="1" applyAlignment="1">
      <alignment horizontal="left" vertical="top" wrapText="1"/>
    </xf>
    <xf numFmtId="0" fontId="9" fillId="8" borderId="10" xfId="0" applyFont="1" applyFill="1" applyBorder="1" applyAlignment="1">
      <alignment horizontal="left" vertical="top" wrapText="1"/>
    </xf>
    <xf numFmtId="0" fontId="9" fillId="8" borderId="12" xfId="0" applyFont="1" applyFill="1" applyBorder="1" applyAlignment="1">
      <alignment horizontal="left" vertical="top" wrapText="1"/>
    </xf>
    <xf numFmtId="0" fontId="15" fillId="8" borderId="9" xfId="0" applyFont="1" applyFill="1" applyBorder="1" applyAlignment="1">
      <alignment horizontal="center" vertical="top" wrapText="1"/>
    </xf>
    <xf numFmtId="0" fontId="15" fillId="8" borderId="10" xfId="0" applyFont="1" applyFill="1" applyBorder="1" applyAlignment="1">
      <alignment horizontal="center" vertical="top" wrapText="1"/>
    </xf>
    <xf numFmtId="0" fontId="15" fillId="8" borderId="12" xfId="0" applyFont="1" applyFill="1" applyBorder="1" applyAlignment="1">
      <alignment horizontal="center" vertical="top" wrapText="1"/>
    </xf>
    <xf numFmtId="0" fontId="8" fillId="5" borderId="7" xfId="0" applyFont="1" applyFill="1" applyBorder="1" applyAlignment="1">
      <alignment horizontal="center" vertical="center" wrapText="1"/>
    </xf>
    <xf numFmtId="0" fontId="8" fillId="5" borderId="22"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22" fillId="9" borderId="23" xfId="0" applyFont="1" applyFill="1" applyBorder="1" applyAlignment="1">
      <alignment horizontal="center" vertical="center" wrapText="1"/>
    </xf>
    <xf numFmtId="0" fontId="9" fillId="0" borderId="24" xfId="0" applyFont="1" applyBorder="1" applyAlignment="1">
      <alignment vertical="top" wrapText="1"/>
    </xf>
    <xf numFmtId="0" fontId="23" fillId="10" borderId="24" xfId="0" applyFont="1" applyFill="1" applyBorder="1" applyAlignment="1">
      <alignment horizontal="center" vertical="center" wrapText="1"/>
    </xf>
    <xf numFmtId="0" fontId="24" fillId="0" borderId="24" xfId="2" applyFont="1" applyBorder="1" applyAlignment="1">
      <alignment wrapText="1"/>
    </xf>
    <xf numFmtId="0" fontId="23" fillId="11" borderId="24" xfId="0" applyFont="1" applyFill="1" applyBorder="1" applyAlignment="1">
      <alignment horizontal="center" vertical="center" wrapText="1"/>
    </xf>
    <xf numFmtId="0" fontId="23" fillId="12" borderId="24" xfId="0" applyFont="1" applyFill="1" applyBorder="1" applyAlignment="1">
      <alignment horizontal="center" vertical="center"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0" fillId="0" borderId="0" xfId="0" applyAlignment="1">
      <alignment vertical="center"/>
    </xf>
    <xf numFmtId="0" fontId="12" fillId="0" borderId="11" xfId="0" applyFont="1" applyBorder="1" applyAlignment="1">
      <alignment vertical="top" wrapTex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23" fillId="0" borderId="11" xfId="0" applyFont="1" applyBorder="1" applyAlignment="1">
      <alignment horizontal="center" vertical="center" wrapText="1"/>
    </xf>
  </cellXfs>
  <cellStyles count="3">
    <cellStyle name="Hyperlink" xfId="2" xr:uid="{00000000-0005-0000-0000-000000000000}"/>
    <cellStyle name="Normal" xfId="0" builtinId="0"/>
    <cellStyle name="Normal 4 2" xfId="1" xr:uid="{00000000-0005-0000-0000-000002000000}"/>
  </cellStyles>
  <dxfs count="7">
    <dxf>
      <fill>
        <patternFill>
          <bgColor rgb="FF00B050"/>
        </patternFill>
      </fill>
    </dxf>
    <dxf>
      <fill>
        <patternFill>
          <bgColor rgb="FFFF0000"/>
        </patternFill>
      </fill>
    </dxf>
    <dxf>
      <fill>
        <patternFill>
          <bgColor theme="0" tint="-0.34998626667073579"/>
        </patternFill>
      </fill>
    </dxf>
    <dxf>
      <fill>
        <patternFill>
          <bgColor rgb="FFFF0000"/>
        </patternFill>
      </fill>
    </dxf>
    <dxf>
      <fill>
        <patternFill>
          <bgColor rgb="FF00B05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ervicios.infoleg.gob.ar/infolegInternet/anexos/0-4999/804/norma.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pageSetUpPr fitToPage="1"/>
  </sheetPr>
  <dimension ref="A1:U61"/>
  <sheetViews>
    <sheetView showGridLines="0" tabSelected="1" zoomScale="85" zoomScaleNormal="85" zoomScaleSheetLayoutView="40" workbookViewId="0">
      <selection activeCell="E22" sqref="E22:F22"/>
    </sheetView>
  </sheetViews>
  <sheetFormatPr defaultColWidth="11.44140625" defaultRowHeight="14.4" x14ac:dyDescent="0.3"/>
  <cols>
    <col min="1" max="1" width="13.109375" style="1" customWidth="1"/>
    <col min="2" max="3" width="16.33203125" customWidth="1"/>
    <col min="4" max="4" width="5.109375" customWidth="1"/>
    <col min="5" max="5" width="49.6640625" customWidth="1"/>
    <col min="6" max="6" width="65.109375" customWidth="1"/>
    <col min="7" max="7" width="53.33203125" customWidth="1"/>
    <col min="8" max="8" width="43" style="1" customWidth="1"/>
    <col min="9" max="21" width="10.6640625" style="1"/>
  </cols>
  <sheetData>
    <row r="1" spans="1:21" s="3" customFormat="1" x14ac:dyDescent="0.3">
      <c r="A1" s="5"/>
    </row>
    <row r="2" spans="1:21" s="1" customFormat="1" ht="23.4" x14ac:dyDescent="0.45">
      <c r="B2" s="4"/>
    </row>
    <row r="3" spans="1:21" s="1" customFormat="1" ht="30" x14ac:dyDescent="0.5">
      <c r="B3" s="20" t="s">
        <v>0</v>
      </c>
      <c r="C3" s="20"/>
      <c r="D3" s="20"/>
      <c r="E3" s="20"/>
      <c r="F3" s="20"/>
      <c r="G3" s="20"/>
    </row>
    <row r="4" spans="1:21" s="1" customFormat="1" ht="21.6" thickBot="1" x14ac:dyDescent="0.45">
      <c r="B4" s="7"/>
    </row>
    <row r="5" spans="1:21" s="1" customFormat="1" ht="17.399999999999999" x14ac:dyDescent="0.35">
      <c r="B5" s="24" t="s">
        <v>1</v>
      </c>
      <c r="C5" s="25"/>
      <c r="D5" s="9" t="s">
        <v>2</v>
      </c>
      <c r="E5" s="10"/>
    </row>
    <row r="6" spans="1:21" s="1" customFormat="1" ht="17.399999999999999" x14ac:dyDescent="0.35">
      <c r="B6" s="26" t="s">
        <v>3</v>
      </c>
      <c r="C6" s="27"/>
      <c r="D6" s="6" t="s">
        <v>2</v>
      </c>
      <c r="E6" s="11"/>
    </row>
    <row r="7" spans="1:21" s="1" customFormat="1" ht="17.399999999999999" x14ac:dyDescent="0.35">
      <c r="B7" s="26" t="s">
        <v>4</v>
      </c>
      <c r="C7" s="27"/>
      <c r="D7" s="6" t="s">
        <v>2</v>
      </c>
      <c r="E7" s="11"/>
    </row>
    <row r="8" spans="1:21" s="1" customFormat="1" ht="17.399999999999999" x14ac:dyDescent="0.35">
      <c r="B8" s="26" t="s">
        <v>5</v>
      </c>
      <c r="C8" s="27"/>
      <c r="D8" s="6" t="s">
        <v>2</v>
      </c>
      <c r="E8" s="11"/>
    </row>
    <row r="9" spans="1:21" s="1" customFormat="1" ht="18" thickBot="1" x14ac:dyDescent="0.4">
      <c r="B9" s="28" t="s">
        <v>6</v>
      </c>
      <c r="C9" s="29"/>
      <c r="D9" s="8" t="s">
        <v>2</v>
      </c>
      <c r="E9" s="12"/>
    </row>
    <row r="10" spans="1:21" s="1" customFormat="1" ht="18" x14ac:dyDescent="0.35">
      <c r="B10" s="2"/>
    </row>
    <row r="11" spans="1:21" s="1" customFormat="1" x14ac:dyDescent="0.3"/>
    <row r="12" spans="1:21" ht="97.2" customHeight="1" thickBot="1" x14ac:dyDescent="0.35">
      <c r="B12" s="52" t="s">
        <v>7</v>
      </c>
      <c r="C12" s="53"/>
      <c r="D12" s="53"/>
      <c r="E12" s="53"/>
      <c r="F12" s="54"/>
      <c r="G12" s="21" t="s">
        <v>8</v>
      </c>
      <c r="H12" s="21"/>
    </row>
    <row r="13" spans="1:21" ht="51.6" customHeight="1" thickBot="1" x14ac:dyDescent="0.35">
      <c r="B13" s="40" t="s">
        <v>9</v>
      </c>
      <c r="C13" s="41"/>
      <c r="D13" s="15">
        <v>1</v>
      </c>
      <c r="E13" s="30" t="s">
        <v>10</v>
      </c>
      <c r="F13" s="31"/>
      <c r="G13" s="22"/>
      <c r="H13" s="22"/>
    </row>
    <row r="14" spans="1:21" ht="47.4" customHeight="1" thickBot="1" x14ac:dyDescent="0.35">
      <c r="B14" s="42"/>
      <c r="C14" s="43"/>
      <c r="D14" s="15">
        <v>2</v>
      </c>
      <c r="E14" s="32" t="s">
        <v>11</v>
      </c>
      <c r="F14" s="31"/>
      <c r="G14" s="23"/>
      <c r="H14" s="23"/>
    </row>
    <row r="15" spans="1:21" ht="30" customHeight="1" thickBot="1" x14ac:dyDescent="0.35">
      <c r="B15" s="42"/>
      <c r="C15" s="43"/>
      <c r="D15" s="15">
        <v>3</v>
      </c>
      <c r="E15" s="32" t="s">
        <v>12</v>
      </c>
      <c r="F15" s="31"/>
      <c r="G15" s="23"/>
      <c r="H15" s="23"/>
    </row>
    <row r="16" spans="1:21" ht="30" customHeight="1" thickBot="1" x14ac:dyDescent="0.35">
      <c r="B16" s="42"/>
      <c r="C16" s="43"/>
      <c r="D16" s="15">
        <v>4</v>
      </c>
      <c r="E16" s="32" t="s">
        <v>13</v>
      </c>
      <c r="F16" s="31"/>
      <c r="G16" s="34" t="s">
        <v>486</v>
      </c>
      <c r="H16" s="34"/>
      <c r="U16"/>
    </row>
    <row r="17" spans="2:8" ht="30" customHeight="1" thickBot="1" x14ac:dyDescent="0.35">
      <c r="B17" s="42"/>
      <c r="C17" s="43"/>
      <c r="D17" s="15">
        <v>5</v>
      </c>
      <c r="E17" s="32" t="s">
        <v>14</v>
      </c>
      <c r="F17" s="31"/>
      <c r="G17" s="34" t="str">
        <f>_xlfn.XLOOKUP(G16,'Country List Updated March 2026'!A2:A159,'Country List Updated March 2026'!B2:B159)</f>
        <v>Law No. 91/2025/QH15 on Personal Data Protection and Decree No. 356/2025/ND-CP</v>
      </c>
      <c r="H17" s="34"/>
    </row>
    <row r="18" spans="2:8" ht="30" customHeight="1" thickBot="1" x14ac:dyDescent="0.35">
      <c r="B18" s="44"/>
      <c r="C18" s="45"/>
      <c r="D18" s="15">
        <v>6</v>
      </c>
      <c r="E18" s="32" t="s">
        <v>636</v>
      </c>
      <c r="F18" s="31"/>
      <c r="G18" s="61" t="str">
        <f>_xlfn.XLOOKUP(G16,'Country List Updated March 2026'!A2:A159,'Country List Updated March 2026'!C2:C159)</f>
        <v>Khusus</v>
      </c>
      <c r="H18" s="62"/>
    </row>
    <row r="19" spans="2:8" ht="30" customHeight="1" thickBot="1" x14ac:dyDescent="0.35">
      <c r="B19" s="33" t="s">
        <v>15</v>
      </c>
      <c r="C19" s="33"/>
      <c r="D19" s="15">
        <v>7</v>
      </c>
      <c r="E19" s="38" t="s">
        <v>16</v>
      </c>
      <c r="F19" s="39"/>
      <c r="G19" s="34"/>
      <c r="H19" s="34"/>
    </row>
    <row r="20" spans="2:8" ht="82.95" customHeight="1" thickBot="1" x14ac:dyDescent="0.35">
      <c r="B20" s="33"/>
      <c r="C20" s="33"/>
      <c r="D20" s="15">
        <v>8</v>
      </c>
      <c r="E20" s="32" t="s">
        <v>17</v>
      </c>
      <c r="F20" s="31"/>
      <c r="G20" s="16" t="s">
        <v>18</v>
      </c>
      <c r="H20" s="16" t="s">
        <v>19</v>
      </c>
    </row>
    <row r="21" spans="2:8" ht="43.95" customHeight="1" thickBot="1" x14ac:dyDescent="0.35">
      <c r="B21" s="33"/>
      <c r="C21" s="33"/>
      <c r="D21" s="15">
        <v>9</v>
      </c>
      <c r="E21" s="32" t="s">
        <v>20</v>
      </c>
      <c r="F21" s="31"/>
      <c r="G21" s="35" t="s">
        <v>639</v>
      </c>
      <c r="H21" s="35"/>
    </row>
    <row r="22" spans="2:8" ht="48.6" customHeight="1" thickBot="1" x14ac:dyDescent="0.35">
      <c r="B22" s="40" t="s">
        <v>21</v>
      </c>
      <c r="C22" s="41"/>
      <c r="D22" s="15">
        <v>10</v>
      </c>
      <c r="E22" s="32" t="s">
        <v>22</v>
      </c>
      <c r="F22" s="31"/>
      <c r="G22" s="34" t="s">
        <v>637</v>
      </c>
      <c r="H22" s="34"/>
    </row>
    <row r="23" spans="2:8" ht="48.6" customHeight="1" thickBot="1" x14ac:dyDescent="0.35">
      <c r="B23" s="42"/>
      <c r="C23" s="43"/>
      <c r="D23" s="15">
        <v>11</v>
      </c>
      <c r="E23" s="32" t="s">
        <v>645</v>
      </c>
      <c r="F23" s="31"/>
      <c r="G23" s="61" t="s">
        <v>647</v>
      </c>
      <c r="H23" s="62"/>
    </row>
    <row r="24" spans="2:8" ht="48.6" customHeight="1" thickBot="1" x14ac:dyDescent="0.35">
      <c r="B24" s="42"/>
      <c r="C24" s="43"/>
      <c r="D24" s="15">
        <v>12</v>
      </c>
      <c r="E24" s="32" t="s">
        <v>646</v>
      </c>
      <c r="F24" s="31"/>
      <c r="G24" s="61" t="s">
        <v>649</v>
      </c>
      <c r="H24" s="62"/>
    </row>
    <row r="25" spans="2:8" ht="30" customHeight="1" thickBot="1" x14ac:dyDescent="0.35">
      <c r="B25" s="42"/>
      <c r="C25" s="43"/>
      <c r="D25" s="15">
        <v>13</v>
      </c>
      <c r="E25" s="32" t="s">
        <v>23</v>
      </c>
      <c r="F25" s="31"/>
      <c r="G25" s="61" t="s">
        <v>648</v>
      </c>
      <c r="H25" s="62"/>
    </row>
    <row r="26" spans="2:8" ht="60" customHeight="1" thickBot="1" x14ac:dyDescent="0.35">
      <c r="B26" s="42"/>
      <c r="C26" s="43"/>
      <c r="D26" s="49">
        <v>14</v>
      </c>
      <c r="E26" s="46" t="s">
        <v>24</v>
      </c>
      <c r="F26" s="17" t="s">
        <v>25</v>
      </c>
      <c r="G26" s="67" t="str">
        <f>IF(OR(G22="Tidak diketahui",G22=""),"Risiko Tinggi","Risiko Rendah")</f>
        <v>Risiko Tinggi</v>
      </c>
      <c r="H26" s="64" t="str">
        <f>IF(OR(G22="Tidak diketahui",G22=""),"Potensi risiko tinggi karena mekanisme pengamanan dalam Transfer Data Pribadi tidak diketahui atau belum dapat dibuktikan memadai","Transfer Data Pribadi telah dilakukan melalui mekanisme pengamanan yang memadai")</f>
        <v>Potensi risiko tinggi karena mekanisme pengamanan dalam Transfer Data Pribadi tidak diketahui atau belum dapat dibuktikan memadai</v>
      </c>
    </row>
    <row r="27" spans="2:8" ht="48.6" customHeight="1" thickBot="1" x14ac:dyDescent="0.35">
      <c r="B27" s="42"/>
      <c r="C27" s="43"/>
      <c r="D27" s="50"/>
      <c r="E27" s="47"/>
      <c r="F27" s="18" t="s">
        <v>26</v>
      </c>
      <c r="G27" s="67" t="str">
        <f>IF(G23="Memadai","Risiko Rendah",IF(G23="Cukup memadai","Risiko Menengah",IF(OR(G23="Tidak memadai",G23="Tidak diketahui"),"Risiko Tinggi","")))</f>
        <v>Risiko Rendah</v>
      </c>
      <c r="H27" s="64" t="str">
        <f>IF(G23="Memadai","Kontrol teknis dan operasional pada pihak penerima dinilai memadai, sehingga risikonya rendah.",IF(G23="Cukup memadai","Kontrol teknis dan operasional pada pihak penerima dinilai cukup memadai, namun masih perlu ditelaah lebih lanjut.",IF(G23="Tidak memadai","Kontrol teknis dan operasional pada pihak penerima dinilai tidak memadai, sehingga risikonya tinggi.",IF(G23="Tidak diketahui","Kecukupan kontrol teknis dan operasional pada pihak penerima tidak diketahui, sehingga risikonya tinggi.",""))))</f>
        <v>Kontrol teknis dan operasional pada pihak penerima dinilai memadai, sehingga risikonya rendah.</v>
      </c>
    </row>
    <row r="28" spans="2:8" ht="48.6" customHeight="1" thickBot="1" x14ac:dyDescent="0.35">
      <c r="B28" s="42"/>
      <c r="C28" s="43"/>
      <c r="D28" s="50"/>
      <c r="E28" s="47"/>
      <c r="F28" s="18" t="s">
        <v>27</v>
      </c>
      <c r="G28" s="67" t="str">
        <f>IF(G24="Memadai","Risiko Rendah",IF(G24="Cukup memadai","Risiko Menengah",IF(OR(G24="Tidak memadai",G24="Tidak diketahui"),"Risiko Tinggi","")))</f>
        <v>Risiko Tinggi</v>
      </c>
      <c r="H28" s="64" t="str">
        <f>IF(G24="Memadai","Perjanjian atau pengaturan tertulis dinilai memadai untuk membatasi penggunaan Data Pribadi sesuai tujuan transfer.",IF(G24="Cukup memadai","Perjanjian atau pengaturan tertulis dinilai cukup memadai, namun masih perlu ditelaah lebih lanjut.",IF(G24="Tidak memadai","Perjanjian atau pengaturan tertulis dinilai tidak memadai untuk membatasi penggunaan Data Pribadi sesuai tujuan transfer.",IF(G24="Tidak diketahui","Keberadaan atau kecukupan perjanjian atau pengaturan tertulis tidak diketahui.",""))))</f>
        <v>Perjanjian atau pengaturan tertulis dinilai tidak memadai untuk membatasi penggunaan Data Pribadi sesuai tujuan transfer.</v>
      </c>
    </row>
    <row r="29" spans="2:8" ht="48.6" customHeight="1" thickBot="1" x14ac:dyDescent="0.35">
      <c r="B29" s="42"/>
      <c r="C29" s="43"/>
      <c r="D29" s="50"/>
      <c r="E29" s="47"/>
      <c r="F29" s="18" t="s">
        <v>28</v>
      </c>
      <c r="G29" s="67" t="str">
        <f>IF(G25="Ya","Risiko Tinggi",IF(G25="Tidak","Risiko Rendah",""))</f>
        <v>Risiko Tinggi</v>
      </c>
      <c r="H29" s="64" t="str">
        <f>IF(G25="Ya","Terdapat kemungkinan Transfer Data Pribadi lebih lanjut ke negara lain oleh pihak penerima, sehingga risikonya tinggi.",IF(G25="Tidak","Tidak terdapat kemungkinan Transfer Data Pribadi lebih lanjut ke negara lain oleh pihak penerima, sehingga risikonya rendah.",""))</f>
        <v>Terdapat kemungkinan Transfer Data Pribadi lebih lanjut ke negara lain oleh pihak penerima, sehingga risikonya tinggi.</v>
      </c>
    </row>
    <row r="30" spans="2:8" ht="48.6" customHeight="1" thickBot="1" x14ac:dyDescent="0.35">
      <c r="B30" s="42"/>
      <c r="C30" s="43"/>
      <c r="D30" s="51"/>
      <c r="E30" s="48"/>
      <c r="F30" s="18" t="s">
        <v>29</v>
      </c>
      <c r="G30" s="67" t="str">
        <f>IF(G18="Khusus","Risiko Rendah",IF(G18="Parsial","Risiko Menengah",IF(G18="Tidak ada","Risiko Tinggi","")))</f>
        <v>Risiko Rendah</v>
      </c>
      <c r="H30" s="64" t="str">
        <f>IF(G18="Khusus","Negara tujuan transfer memiliki aturan Pelindungan Data Pribadi yang khusus, sehingga risikonya rendah.",IF(G18="Parsial","Negara tujuan transfer memiliki aturan Pelindungan Data Pribadi yang parsial, sehingga perlu dikaji lebih lanjut terkait kecukupan aturan tersebut.",IF(G18="Tidak ada","Negara tujuan transfer tidak memiliki aturan Pelindungan Data Pribadi, sehingga risikonya tinggi.","")))</f>
        <v>Negara tujuan transfer memiliki aturan Pelindungan Data Pribadi yang khusus, sehingga risikonya rendah.</v>
      </c>
    </row>
    <row r="31" spans="2:8" ht="49.2" customHeight="1" thickBot="1" x14ac:dyDescent="0.35">
      <c r="B31" s="36" t="s">
        <v>30</v>
      </c>
      <c r="C31" s="37"/>
      <c r="D31" s="15">
        <v>15</v>
      </c>
      <c r="E31" s="38" t="s">
        <v>31</v>
      </c>
      <c r="F31" s="39"/>
      <c r="G31" s="65" t="str">
        <f>IF(COUNTIF(G26:G30,"Risiko Rendah")=5,"Seluruh parameter dinilai berisiko rendah, sehingga transfer dapat dilakukan.",IF(COUNTIF(G26:G30,"Risiko Tinggi")&gt;2,"Terdapat lebih dari 2 risiko tinggi, sehingga transfer tidak disarankan untuk dilakukan.",IF(COUNTIF(G26:G30,"Risiko Tinggi")&gt;=1,"Terdapat risiko tinggi dalam hasil evaluasi, sehingga perlu dikonsultasikan terlebih dahulu kepada DPO sebelum transfer dilakukan.","Masih terdapat risiko menengah, sehingga transfer perlu dikaji lebih lanjut dan memerlukan mitigasi tambahan.")))</f>
        <v>Terdapat lebih dari 2 risiko tinggi, sehingga transfer tidak disarankan untuk dilakukan.</v>
      </c>
      <c r="H31" s="66"/>
    </row>
    <row r="32" spans="2:8" s="1" customFormat="1" x14ac:dyDescent="0.3"/>
    <row r="33" spans="2:7" s="1" customFormat="1" x14ac:dyDescent="0.3"/>
    <row r="34" spans="2:7" s="1" customFormat="1" x14ac:dyDescent="0.3"/>
    <row r="35" spans="2:7" s="1" customFormat="1" x14ac:dyDescent="0.3"/>
    <row r="36" spans="2:7" s="1" customFormat="1" x14ac:dyDescent="0.3"/>
    <row r="37" spans="2:7" x14ac:dyDescent="0.3">
      <c r="B37" s="1"/>
      <c r="C37" s="1"/>
      <c r="D37" s="1"/>
      <c r="E37" s="1"/>
      <c r="F37" s="1"/>
      <c r="G37" s="1"/>
    </row>
    <row r="38" spans="2:7" x14ac:dyDescent="0.3">
      <c r="B38" s="1"/>
      <c r="C38" s="1"/>
      <c r="D38" s="1"/>
      <c r="E38" s="1"/>
      <c r="F38" s="1"/>
      <c r="G38" s="1"/>
    </row>
    <row r="39" spans="2:7" x14ac:dyDescent="0.3">
      <c r="B39" s="1"/>
      <c r="C39" s="1"/>
      <c r="D39" s="1"/>
      <c r="E39" s="1"/>
      <c r="F39" s="1"/>
      <c r="G39" s="1"/>
    </row>
    <row r="40" spans="2:7" x14ac:dyDescent="0.3">
      <c r="B40" s="1"/>
      <c r="C40" s="1"/>
      <c r="D40" s="1"/>
      <c r="E40" s="1"/>
      <c r="F40" s="1"/>
      <c r="G40" s="1"/>
    </row>
    <row r="41" spans="2:7" x14ac:dyDescent="0.3">
      <c r="B41" s="1"/>
      <c r="C41" s="1"/>
      <c r="D41" s="1"/>
      <c r="E41" s="1"/>
      <c r="F41" s="1"/>
      <c r="G41" s="1"/>
    </row>
    <row r="42" spans="2:7" x14ac:dyDescent="0.3">
      <c r="B42" s="1"/>
      <c r="C42" s="1"/>
      <c r="D42" s="1"/>
      <c r="E42" s="1"/>
      <c r="F42" s="1"/>
      <c r="G42" s="1"/>
    </row>
    <row r="43" spans="2:7" x14ac:dyDescent="0.3">
      <c r="B43" s="1"/>
      <c r="C43" s="1"/>
      <c r="D43" s="1"/>
      <c r="E43" s="1"/>
      <c r="F43" s="1"/>
      <c r="G43" s="1"/>
    </row>
    <row r="44" spans="2:7" x14ac:dyDescent="0.3">
      <c r="B44" s="1"/>
      <c r="C44" s="1"/>
      <c r="D44" s="1"/>
      <c r="E44" s="1"/>
      <c r="F44" s="1"/>
      <c r="G44" s="1"/>
    </row>
    <row r="45" spans="2:7" x14ac:dyDescent="0.3">
      <c r="B45" s="1"/>
      <c r="C45" s="1"/>
      <c r="D45" s="1"/>
      <c r="E45" s="1"/>
      <c r="F45" s="1"/>
      <c r="G45" s="1"/>
    </row>
    <row r="46" spans="2:7" x14ac:dyDescent="0.3">
      <c r="B46" s="1"/>
      <c r="C46" s="1"/>
      <c r="D46" s="1"/>
      <c r="E46" s="1"/>
      <c r="F46" s="1"/>
      <c r="G46" s="1"/>
    </row>
    <row r="47" spans="2:7" x14ac:dyDescent="0.3">
      <c r="B47" s="1"/>
      <c r="C47" s="1"/>
      <c r="D47" s="1"/>
      <c r="E47" s="1"/>
      <c r="F47" s="1"/>
      <c r="G47" s="1"/>
    </row>
    <row r="48" spans="2:7" x14ac:dyDescent="0.3">
      <c r="B48" s="1"/>
      <c r="C48" s="1"/>
      <c r="D48" s="1"/>
      <c r="E48" s="1"/>
      <c r="F48" s="1"/>
      <c r="G48" s="1"/>
    </row>
    <row r="49" spans="2:7" x14ac:dyDescent="0.3">
      <c r="B49" s="1"/>
      <c r="C49" s="1"/>
      <c r="D49" s="1"/>
      <c r="E49" s="1"/>
      <c r="F49" s="1"/>
      <c r="G49" s="1"/>
    </row>
    <row r="50" spans="2:7" x14ac:dyDescent="0.3">
      <c r="B50" s="1"/>
      <c r="C50" s="1"/>
      <c r="D50" s="1"/>
      <c r="E50" s="1"/>
      <c r="F50" s="1"/>
      <c r="G50" s="1"/>
    </row>
    <row r="51" spans="2:7" x14ac:dyDescent="0.3">
      <c r="B51" s="1"/>
      <c r="C51" s="1"/>
      <c r="D51" s="1"/>
      <c r="E51" s="1"/>
      <c r="F51" s="1"/>
      <c r="G51" s="1"/>
    </row>
    <row r="52" spans="2:7" x14ac:dyDescent="0.3">
      <c r="B52" s="1"/>
      <c r="C52" s="1"/>
      <c r="D52" s="1"/>
      <c r="E52" s="1"/>
      <c r="F52" s="1"/>
      <c r="G52" s="1"/>
    </row>
    <row r="53" spans="2:7" x14ac:dyDescent="0.3">
      <c r="B53" s="1"/>
      <c r="C53" s="1"/>
      <c r="D53" s="1"/>
      <c r="E53" s="1"/>
      <c r="F53" s="1"/>
      <c r="G53" s="1"/>
    </row>
    <row r="54" spans="2:7" x14ac:dyDescent="0.3">
      <c r="B54" s="1"/>
      <c r="C54" s="1"/>
      <c r="D54" s="1"/>
      <c r="E54" s="1"/>
      <c r="F54" s="1"/>
      <c r="G54" s="1"/>
    </row>
    <row r="55" spans="2:7" x14ac:dyDescent="0.3">
      <c r="B55" s="1"/>
      <c r="C55" s="1"/>
      <c r="D55" s="1"/>
      <c r="E55" s="1"/>
      <c r="F55" s="1"/>
      <c r="G55" s="1"/>
    </row>
    <row r="56" spans="2:7" x14ac:dyDescent="0.3">
      <c r="B56" s="1"/>
      <c r="C56" s="1"/>
      <c r="D56" s="1"/>
      <c r="E56" s="1"/>
      <c r="F56" s="1"/>
      <c r="G56" s="1"/>
    </row>
    <row r="57" spans="2:7" x14ac:dyDescent="0.3">
      <c r="B57" s="1"/>
      <c r="C57" s="1"/>
      <c r="D57" s="1"/>
      <c r="E57" s="1"/>
      <c r="F57" s="1"/>
      <c r="G57" s="1"/>
    </row>
    <row r="58" spans="2:7" x14ac:dyDescent="0.3">
      <c r="B58" s="1"/>
      <c r="C58" s="1"/>
      <c r="D58" s="1"/>
      <c r="E58" s="1"/>
      <c r="F58" s="1"/>
      <c r="G58" s="1"/>
    </row>
    <row r="59" spans="2:7" x14ac:dyDescent="0.3">
      <c r="B59" s="1"/>
      <c r="C59" s="1"/>
      <c r="D59" s="1"/>
      <c r="E59" s="1"/>
      <c r="F59" s="1"/>
      <c r="G59" s="1"/>
    </row>
    <row r="60" spans="2:7" x14ac:dyDescent="0.3">
      <c r="B60" s="1"/>
      <c r="C60" s="1"/>
      <c r="D60" s="1"/>
      <c r="E60" s="1"/>
      <c r="F60" s="1"/>
      <c r="G60" s="1"/>
    </row>
    <row r="61" spans="2:7" x14ac:dyDescent="0.3">
      <c r="B61" s="1"/>
      <c r="C61" s="1"/>
      <c r="D61" s="1"/>
      <c r="E61" s="1"/>
      <c r="F61" s="1"/>
      <c r="G61" s="1"/>
    </row>
  </sheetData>
  <mergeCells count="41">
    <mergeCell ref="G23:H23"/>
    <mergeCell ref="E24:F24"/>
    <mergeCell ref="G22:H22"/>
    <mergeCell ref="B13:C18"/>
    <mergeCell ref="E18:F18"/>
    <mergeCell ref="G18:H18"/>
    <mergeCell ref="B22:C30"/>
    <mergeCell ref="E26:E30"/>
    <mergeCell ref="D26:D30"/>
    <mergeCell ref="B12:F12"/>
    <mergeCell ref="E21:F21"/>
    <mergeCell ref="E22:F22"/>
    <mergeCell ref="E25:F25"/>
    <mergeCell ref="E23:F23"/>
    <mergeCell ref="E31:F31"/>
    <mergeCell ref="E15:F15"/>
    <mergeCell ref="E16:F16"/>
    <mergeCell ref="E17:F17"/>
    <mergeCell ref="E19:F19"/>
    <mergeCell ref="E20:F20"/>
    <mergeCell ref="G31:H31"/>
    <mergeCell ref="G25:H25"/>
    <mergeCell ref="B19:C21"/>
    <mergeCell ref="G19:H19"/>
    <mergeCell ref="G21:H21"/>
    <mergeCell ref="G15:H15"/>
    <mergeCell ref="G16:H16"/>
    <mergeCell ref="G17:H17"/>
    <mergeCell ref="G24:H24"/>
    <mergeCell ref="B31:C31"/>
    <mergeCell ref="B3:G3"/>
    <mergeCell ref="G12:H12"/>
    <mergeCell ref="G13:H13"/>
    <mergeCell ref="G14:H14"/>
    <mergeCell ref="B5:C5"/>
    <mergeCell ref="B6:C6"/>
    <mergeCell ref="B7:C7"/>
    <mergeCell ref="B8:C8"/>
    <mergeCell ref="B9:C9"/>
    <mergeCell ref="E13:F13"/>
    <mergeCell ref="E14:F14"/>
  </mergeCells>
  <conditionalFormatting sqref="G26:G30">
    <cfRule type="containsText" dxfId="3" priority="3" operator="containsText" text="Risiko Tinggi">
      <formula>NOT(ISERROR(SEARCH("Risiko Tinggi",G26)))</formula>
    </cfRule>
    <cfRule type="containsText" dxfId="4" priority="2" operator="containsText" text="Risiko Rendah">
      <formula>NOT(ISERROR(SEARCH("Risiko Rendah",G26)))</formula>
    </cfRule>
    <cfRule type="containsText" dxfId="2" priority="1" operator="containsText" text="Risiko Menengah">
      <formula>NOT(ISERROR(SEARCH("Risiko Menengah",G26)))</formula>
    </cfRule>
  </conditionalFormatting>
  <dataValidations count="3">
    <dataValidation type="list" allowBlank="1" showInputMessage="1" showErrorMessage="1" sqref="G13:H13" xr:uid="{D574D44D-11B2-4193-957B-D887CCFB15F4}">
      <formula1>"Kesetaraan aturan PDP, Perjanjian antarnegara, Standar klausul kontrak, Binding Corporate Rules, Instrumen pelindungan Data Pribadi lain, Persetujuan SDP, Perintah Pengadilan atau otoritas administrasi negara lain berdasarkan perjanjian internasional"</formula1>
    </dataValidation>
    <dataValidation type="list" allowBlank="1" showInputMessage="1" showErrorMessage="1" sqref="G25" xr:uid="{A8E0CA05-3A5D-4667-87B6-9E388BBEDBA3}">
      <formula1>"Ya,Tidak"</formula1>
    </dataValidation>
    <dataValidation type="list" allowBlank="1" showInputMessage="1" showErrorMessage="1" sqref="G23:H24" xr:uid="{2EE2664D-2208-4255-A7CC-0D864E051286}">
      <formula1>"Memadai, Cukup Memadai, Tidak Memadai, Tidak Diketahui"</formula1>
    </dataValidation>
  </dataValidations>
  <pageMargins left="0.25" right="0.25" top="0.75" bottom="0.75" header="0.3" footer="0.3"/>
  <pageSetup paperSize="9" scale="39" orientation="portrait" r:id="rId1"/>
  <colBreaks count="1" manualBreakCount="1">
    <brk id="9" min="1" max="45" man="1"/>
  </colBreaks>
  <extLst>
    <ext xmlns:x14="http://schemas.microsoft.com/office/spreadsheetml/2009/9/main" uri="{CCE6A557-97BC-4b89-ADB6-D9C93CAAB3DF}">
      <x14:dataValidations xmlns:xm="http://schemas.microsoft.com/office/excel/2006/main" count="4">
        <x14:dataValidation type="list" allowBlank="1" showInputMessage="1" showErrorMessage="1" xr:uid="{AAE8B240-FC07-4CB1-B873-971D523AEC2D}">
          <x14:formula1>
            <xm:f>'LIST ALTO'!$A$1:$A$7</xm:f>
          </x14:formula1>
          <xm:sqref>G19:H19</xm:sqref>
        </x14:dataValidation>
        <x14:dataValidation type="list" allowBlank="1" showInputMessage="1" showErrorMessage="1" xr:uid="{2DEE7E17-2A76-43ED-93FC-F11F12FA358A}">
          <x14:formula1>
            <xm:f>'Country List Updated March 2026'!$A$2:$A$159</xm:f>
          </x14:formula1>
          <xm:sqref>G16:H16</xm:sqref>
        </x14:dataValidation>
        <x14:dataValidation type="list" allowBlank="1" showInputMessage="1" showErrorMessage="1" xr:uid="{E892A160-F25C-4C51-AFC6-3528FC0B65BB}">
          <x14:formula1>
            <xm:f>'LIST ALTO'!$C$1:$C$7</xm:f>
          </x14:formula1>
          <xm:sqref>G21:H21</xm:sqref>
        </x14:dataValidation>
        <x14:dataValidation type="list" allowBlank="1" showInputMessage="1" showErrorMessage="1" xr:uid="{ED9C5A0A-AD03-4B64-97D8-9BD920737086}">
          <x14:formula1>
            <xm:f>'LIST ALTO'!$B$1:$B$8</xm:f>
          </x14:formula1>
          <xm:sqref>G22:H22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4E16-E847-4F74-B804-D65AE86D183D}">
  <dimension ref="A1:C8"/>
  <sheetViews>
    <sheetView workbookViewId="0">
      <selection activeCell="C1" sqref="C1:C7"/>
    </sheetView>
  </sheetViews>
  <sheetFormatPr defaultRowHeight="14.4" x14ac:dyDescent="0.3"/>
  <cols>
    <col min="3" max="3" width="20.21875" customWidth="1"/>
  </cols>
  <sheetData>
    <row r="1" spans="1:3" x14ac:dyDescent="0.3">
      <c r="A1" t="s">
        <v>32</v>
      </c>
      <c r="B1" t="s">
        <v>33</v>
      </c>
      <c r="C1" s="63" t="s">
        <v>638</v>
      </c>
    </row>
    <row r="2" spans="1:3" x14ac:dyDescent="0.3">
      <c r="A2" t="s">
        <v>34</v>
      </c>
      <c r="B2" t="s">
        <v>35</v>
      </c>
      <c r="C2" s="63" t="s">
        <v>639</v>
      </c>
    </row>
    <row r="3" spans="1:3" x14ac:dyDescent="0.3">
      <c r="A3" t="s">
        <v>36</v>
      </c>
      <c r="B3" t="s">
        <v>37</v>
      </c>
      <c r="C3" s="63" t="s">
        <v>640</v>
      </c>
    </row>
    <row r="4" spans="1:3" x14ac:dyDescent="0.3">
      <c r="A4" t="s">
        <v>38</v>
      </c>
      <c r="B4" t="s">
        <v>39</v>
      </c>
      <c r="C4" s="63" t="s">
        <v>641</v>
      </c>
    </row>
    <row r="5" spans="1:3" x14ac:dyDescent="0.3">
      <c r="A5" t="s">
        <v>40</v>
      </c>
      <c r="B5" t="s">
        <v>41</v>
      </c>
      <c r="C5" s="63" t="s">
        <v>642</v>
      </c>
    </row>
    <row r="6" spans="1:3" x14ac:dyDescent="0.3">
      <c r="A6" t="s">
        <v>42</v>
      </c>
      <c r="B6" t="s">
        <v>43</v>
      </c>
      <c r="C6" s="63" t="s">
        <v>643</v>
      </c>
    </row>
    <row r="7" spans="1:3" x14ac:dyDescent="0.3">
      <c r="A7" t="s">
        <v>44</v>
      </c>
      <c r="B7" t="s">
        <v>45</v>
      </c>
      <c r="C7" s="63" t="s">
        <v>644</v>
      </c>
    </row>
    <row r="8" spans="1:3" x14ac:dyDescent="0.3">
      <c r="B8" t="s">
        <v>637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5D1F-434D-4FD3-976D-855E66AB2590}">
  <dimension ref="A1:E159"/>
  <sheetViews>
    <sheetView topLeftCell="A2" workbookViewId="0">
      <selection activeCell="C1" sqref="C1:C7"/>
    </sheetView>
  </sheetViews>
  <sheetFormatPr defaultRowHeight="14.4" x14ac:dyDescent="0.3"/>
  <cols>
    <col min="1" max="1" width="24.6640625" customWidth="1"/>
    <col min="2" max="2" width="65.6640625" customWidth="1"/>
    <col min="3" max="3" width="74.109375" customWidth="1"/>
  </cols>
  <sheetData>
    <row r="1" spans="1:5" x14ac:dyDescent="0.3">
      <c r="A1" s="13" t="s">
        <v>46</v>
      </c>
      <c r="B1" s="13" t="s">
        <v>47</v>
      </c>
      <c r="C1" s="13" t="s">
        <v>48</v>
      </c>
      <c r="D1" s="13" t="s">
        <v>49</v>
      </c>
      <c r="E1" s="14"/>
    </row>
    <row r="2" spans="1:5" x14ac:dyDescent="0.3">
      <c r="A2" s="14" t="s">
        <v>50</v>
      </c>
      <c r="B2" s="14" t="s">
        <v>51</v>
      </c>
      <c r="C2" s="14" t="s">
        <v>52</v>
      </c>
      <c r="D2" s="14" t="s">
        <v>53</v>
      </c>
      <c r="E2" s="14"/>
    </row>
    <row r="3" spans="1:5" x14ac:dyDescent="0.3">
      <c r="A3" s="14" t="s">
        <v>54</v>
      </c>
      <c r="B3" s="14" t="s">
        <v>55</v>
      </c>
      <c r="C3" s="14" t="s">
        <v>56</v>
      </c>
      <c r="D3" s="14" t="s">
        <v>53</v>
      </c>
      <c r="E3" s="14"/>
    </row>
    <row r="4" spans="1:5" x14ac:dyDescent="0.3">
      <c r="A4" s="14" t="s">
        <v>57</v>
      </c>
      <c r="B4" s="14" t="s">
        <v>58</v>
      </c>
      <c r="C4" s="14" t="s">
        <v>59</v>
      </c>
      <c r="D4" s="14" t="s">
        <v>53</v>
      </c>
      <c r="E4" s="14"/>
    </row>
    <row r="5" spans="1:5" x14ac:dyDescent="0.3">
      <c r="A5" s="14" t="s">
        <v>60</v>
      </c>
      <c r="B5" s="14" t="s">
        <v>61</v>
      </c>
      <c r="C5" s="14" t="s">
        <v>62</v>
      </c>
      <c r="D5" s="14" t="s">
        <v>53</v>
      </c>
      <c r="E5" s="14"/>
    </row>
    <row r="6" spans="1:5" x14ac:dyDescent="0.3">
      <c r="A6" s="14" t="s">
        <v>63</v>
      </c>
      <c r="B6" s="14" t="s">
        <v>64</v>
      </c>
      <c r="C6" s="14" t="s">
        <v>65</v>
      </c>
      <c r="D6" s="14" t="s">
        <v>53</v>
      </c>
      <c r="E6" s="14"/>
    </row>
    <row r="7" spans="1:5" x14ac:dyDescent="0.3">
      <c r="A7" s="14" t="s">
        <v>66</v>
      </c>
      <c r="B7" s="14" t="s">
        <v>67</v>
      </c>
      <c r="C7" s="19" t="s">
        <v>68</v>
      </c>
      <c r="D7" s="14" t="s">
        <v>510</v>
      </c>
      <c r="E7" s="14"/>
    </row>
    <row r="8" spans="1:5" x14ac:dyDescent="0.3">
      <c r="A8" s="14" t="s">
        <v>69</v>
      </c>
      <c r="B8" s="14" t="s">
        <v>70</v>
      </c>
      <c r="C8" s="14" t="s">
        <v>71</v>
      </c>
      <c r="D8" s="14" t="s">
        <v>53</v>
      </c>
      <c r="E8" s="14"/>
    </row>
    <row r="9" spans="1:5" x14ac:dyDescent="0.3">
      <c r="A9" s="14" t="s">
        <v>72</v>
      </c>
      <c r="B9" s="14" t="s">
        <v>73</v>
      </c>
      <c r="C9" s="14" t="s">
        <v>74</v>
      </c>
      <c r="D9" s="14" t="s">
        <v>53</v>
      </c>
      <c r="E9" s="14"/>
    </row>
    <row r="10" spans="1:5" x14ac:dyDescent="0.3">
      <c r="A10" s="14" t="s">
        <v>75</v>
      </c>
      <c r="B10" s="14" t="s">
        <v>76</v>
      </c>
      <c r="C10" s="14" t="s">
        <v>77</v>
      </c>
      <c r="D10" s="14" t="s">
        <v>53</v>
      </c>
      <c r="E10" s="14"/>
    </row>
    <row r="11" spans="1:5" x14ac:dyDescent="0.3">
      <c r="A11" s="14" t="s">
        <v>78</v>
      </c>
      <c r="B11" s="14" t="s">
        <v>79</v>
      </c>
      <c r="C11" s="14" t="s">
        <v>80</v>
      </c>
      <c r="D11" s="14" t="s">
        <v>53</v>
      </c>
      <c r="E11" s="14"/>
    </row>
    <row r="12" spans="1:5" x14ac:dyDescent="0.3">
      <c r="A12" s="14" t="s">
        <v>81</v>
      </c>
      <c r="B12" s="14" t="s">
        <v>82</v>
      </c>
      <c r="C12" s="14" t="s">
        <v>83</v>
      </c>
      <c r="D12" s="14" t="s">
        <v>53</v>
      </c>
      <c r="E12" s="14"/>
    </row>
    <row r="13" spans="1:5" x14ac:dyDescent="0.3">
      <c r="A13" s="14" t="s">
        <v>84</v>
      </c>
      <c r="B13" s="14" t="s">
        <v>85</v>
      </c>
      <c r="C13" s="14" t="s">
        <v>86</v>
      </c>
      <c r="D13" s="14" t="s">
        <v>53</v>
      </c>
      <c r="E13" s="14"/>
    </row>
    <row r="14" spans="1:5" x14ac:dyDescent="0.3">
      <c r="A14" s="14" t="s">
        <v>87</v>
      </c>
      <c r="B14" s="14" t="s">
        <v>88</v>
      </c>
      <c r="C14" s="14" t="s">
        <v>89</v>
      </c>
      <c r="D14" s="14" t="s">
        <v>53</v>
      </c>
      <c r="E14" s="14"/>
    </row>
    <row r="15" spans="1:5" x14ac:dyDescent="0.3">
      <c r="A15" s="14" t="s">
        <v>90</v>
      </c>
      <c r="B15" s="14" t="s">
        <v>91</v>
      </c>
      <c r="C15" s="14" t="s">
        <v>92</v>
      </c>
      <c r="D15" s="14" t="s">
        <v>53</v>
      </c>
      <c r="E15" s="14"/>
    </row>
    <row r="16" spans="1:5" x14ac:dyDescent="0.3">
      <c r="A16" s="14" t="s">
        <v>93</v>
      </c>
      <c r="B16" s="14" t="s">
        <v>94</v>
      </c>
      <c r="C16" s="14" t="s">
        <v>95</v>
      </c>
      <c r="D16" s="14" t="s">
        <v>53</v>
      </c>
      <c r="E16" s="14"/>
    </row>
    <row r="17" spans="1:5" x14ac:dyDescent="0.3">
      <c r="A17" s="14" t="s">
        <v>96</v>
      </c>
      <c r="B17" s="14" t="s">
        <v>97</v>
      </c>
      <c r="C17" s="14" t="s">
        <v>98</v>
      </c>
      <c r="D17" s="14" t="s">
        <v>53</v>
      </c>
      <c r="E17" s="14"/>
    </row>
    <row r="18" spans="1:5" x14ac:dyDescent="0.3">
      <c r="A18" s="14" t="s">
        <v>99</v>
      </c>
      <c r="B18" s="14" t="s">
        <v>100</v>
      </c>
      <c r="C18" s="14" t="s">
        <v>101</v>
      </c>
      <c r="D18" s="14" t="s">
        <v>53</v>
      </c>
      <c r="E18" s="14"/>
    </row>
    <row r="19" spans="1:5" x14ac:dyDescent="0.3">
      <c r="A19" s="14" t="s">
        <v>102</v>
      </c>
      <c r="B19" s="14" t="s">
        <v>103</v>
      </c>
      <c r="C19" s="14" t="s">
        <v>104</v>
      </c>
      <c r="D19" s="14" t="s">
        <v>53</v>
      </c>
      <c r="E19" s="14"/>
    </row>
    <row r="20" spans="1:5" x14ac:dyDescent="0.3">
      <c r="A20" s="14" t="s">
        <v>105</v>
      </c>
      <c r="B20" s="14" t="s">
        <v>106</v>
      </c>
      <c r="C20" s="14" t="s">
        <v>107</v>
      </c>
      <c r="D20" s="14" t="s">
        <v>510</v>
      </c>
      <c r="E20" s="14"/>
    </row>
    <row r="21" spans="1:5" x14ac:dyDescent="0.3">
      <c r="A21" s="14" t="s">
        <v>108</v>
      </c>
      <c r="B21" s="14" t="s">
        <v>109</v>
      </c>
      <c r="C21" s="14" t="s">
        <v>110</v>
      </c>
      <c r="D21" s="14" t="s">
        <v>53</v>
      </c>
      <c r="E21" s="14"/>
    </row>
    <row r="22" spans="1:5" x14ac:dyDescent="0.3">
      <c r="A22" s="14" t="s">
        <v>111</v>
      </c>
      <c r="B22" s="14" t="s">
        <v>112</v>
      </c>
      <c r="C22" s="14" t="s">
        <v>110</v>
      </c>
      <c r="D22" s="14" t="s">
        <v>510</v>
      </c>
      <c r="E22" s="14"/>
    </row>
    <row r="23" spans="1:5" x14ac:dyDescent="0.3">
      <c r="A23" s="14" t="s">
        <v>113</v>
      </c>
      <c r="B23" s="14" t="s">
        <v>114</v>
      </c>
      <c r="C23" s="14" t="s">
        <v>115</v>
      </c>
      <c r="D23" s="14" t="s">
        <v>53</v>
      </c>
      <c r="E23" s="14"/>
    </row>
    <row r="24" spans="1:5" x14ac:dyDescent="0.3">
      <c r="A24" s="14" t="s">
        <v>116</v>
      </c>
      <c r="B24" s="14" t="s">
        <v>117</v>
      </c>
      <c r="C24" s="14" t="s">
        <v>118</v>
      </c>
      <c r="D24" s="14" t="s">
        <v>53</v>
      </c>
      <c r="E24" s="14"/>
    </row>
    <row r="25" spans="1:5" x14ac:dyDescent="0.3">
      <c r="A25" s="14" t="s">
        <v>119</v>
      </c>
      <c r="B25" s="14" t="s">
        <v>120</v>
      </c>
      <c r="C25" s="14" t="s">
        <v>121</v>
      </c>
      <c r="D25" s="14" t="s">
        <v>53</v>
      </c>
      <c r="E25" s="14"/>
    </row>
    <row r="26" spans="1:5" x14ac:dyDescent="0.3">
      <c r="A26" s="14" t="s">
        <v>122</v>
      </c>
      <c r="B26" s="14" t="s">
        <v>123</v>
      </c>
      <c r="C26" s="14" t="s">
        <v>124</v>
      </c>
      <c r="D26" s="14" t="s">
        <v>53</v>
      </c>
      <c r="E26" s="14"/>
    </row>
    <row r="27" spans="1:5" x14ac:dyDescent="0.3">
      <c r="A27" s="14" t="s">
        <v>125</v>
      </c>
      <c r="B27" s="14" t="s">
        <v>126</v>
      </c>
      <c r="C27" s="14" t="s">
        <v>127</v>
      </c>
      <c r="D27" s="14" t="s">
        <v>510</v>
      </c>
      <c r="E27" s="14"/>
    </row>
    <row r="28" spans="1:5" x14ac:dyDescent="0.3">
      <c r="A28" s="14" t="s">
        <v>128</v>
      </c>
      <c r="B28" s="14" t="s">
        <v>129</v>
      </c>
      <c r="C28" s="14" t="s">
        <v>130</v>
      </c>
      <c r="D28" s="14" t="s">
        <v>510</v>
      </c>
      <c r="E28" s="14"/>
    </row>
    <row r="29" spans="1:5" x14ac:dyDescent="0.3">
      <c r="A29" s="14" t="s">
        <v>131</v>
      </c>
      <c r="B29" s="14" t="s">
        <v>132</v>
      </c>
      <c r="C29" s="14" t="s">
        <v>133</v>
      </c>
      <c r="D29" s="14" t="s">
        <v>53</v>
      </c>
      <c r="E29" s="14"/>
    </row>
    <row r="30" spans="1:5" x14ac:dyDescent="0.3">
      <c r="A30" s="14" t="s">
        <v>134</v>
      </c>
      <c r="B30" s="14" t="s">
        <v>135</v>
      </c>
      <c r="C30" s="14" t="s">
        <v>136</v>
      </c>
      <c r="D30" s="14" t="s">
        <v>53</v>
      </c>
      <c r="E30" s="14"/>
    </row>
    <row r="31" spans="1:5" x14ac:dyDescent="0.3">
      <c r="A31" s="14" t="s">
        <v>137</v>
      </c>
      <c r="B31" s="14" t="s">
        <v>138</v>
      </c>
      <c r="C31" s="14" t="s">
        <v>139</v>
      </c>
      <c r="D31" s="14"/>
      <c r="E31" s="14"/>
    </row>
    <row r="32" spans="1:5" x14ac:dyDescent="0.3">
      <c r="A32" s="14" t="s">
        <v>140</v>
      </c>
      <c r="B32" s="14" t="s">
        <v>141</v>
      </c>
      <c r="C32" s="14" t="s">
        <v>142</v>
      </c>
      <c r="D32" s="14" t="s">
        <v>53</v>
      </c>
      <c r="E32" s="14"/>
    </row>
    <row r="33" spans="1:5" x14ac:dyDescent="0.3">
      <c r="A33" s="14" t="s">
        <v>143</v>
      </c>
      <c r="B33" s="14" t="s">
        <v>144</v>
      </c>
      <c r="C33" s="14" t="s">
        <v>145</v>
      </c>
      <c r="D33" s="14" t="s">
        <v>53</v>
      </c>
      <c r="E33" s="14"/>
    </row>
    <row r="34" spans="1:5" x14ac:dyDescent="0.3">
      <c r="A34" s="14" t="s">
        <v>146</v>
      </c>
      <c r="B34" s="14" t="s">
        <v>147</v>
      </c>
      <c r="C34" s="14"/>
      <c r="D34" s="14"/>
      <c r="E34" s="14"/>
    </row>
    <row r="35" spans="1:5" x14ac:dyDescent="0.3">
      <c r="A35" s="14" t="s">
        <v>148</v>
      </c>
      <c r="B35" s="14" t="s">
        <v>149</v>
      </c>
      <c r="C35" s="14" t="s">
        <v>150</v>
      </c>
      <c r="D35" s="14" t="s">
        <v>53</v>
      </c>
      <c r="E35" s="14"/>
    </row>
    <row r="36" spans="1:5" x14ac:dyDescent="0.3">
      <c r="A36" s="14" t="s">
        <v>151</v>
      </c>
      <c r="B36" s="14" t="s">
        <v>152</v>
      </c>
      <c r="C36" s="14" t="s">
        <v>153</v>
      </c>
      <c r="D36" s="14" t="s">
        <v>53</v>
      </c>
      <c r="E36" s="14"/>
    </row>
    <row r="37" spans="1:5" x14ac:dyDescent="0.3">
      <c r="A37" s="14" t="s">
        <v>154</v>
      </c>
      <c r="B37" s="14" t="s">
        <v>155</v>
      </c>
      <c r="C37" s="14" t="s">
        <v>156</v>
      </c>
      <c r="D37" s="14" t="s">
        <v>53</v>
      </c>
      <c r="E37" s="14"/>
    </row>
    <row r="38" spans="1:5" x14ac:dyDescent="0.3">
      <c r="A38" s="14" t="s">
        <v>157</v>
      </c>
      <c r="B38" s="14" t="s">
        <v>158</v>
      </c>
      <c r="C38" s="14" t="s">
        <v>159</v>
      </c>
      <c r="D38" s="14" t="s">
        <v>53</v>
      </c>
      <c r="E38" s="14"/>
    </row>
    <row r="39" spans="1:5" x14ac:dyDescent="0.3">
      <c r="A39" s="14" t="s">
        <v>160</v>
      </c>
      <c r="B39" s="14" t="s">
        <v>161</v>
      </c>
      <c r="C39" s="14" t="s">
        <v>110</v>
      </c>
      <c r="D39" s="14" t="s">
        <v>53</v>
      </c>
      <c r="E39" s="14"/>
    </row>
    <row r="40" spans="1:5" x14ac:dyDescent="0.3">
      <c r="A40" s="14" t="s">
        <v>162</v>
      </c>
      <c r="B40" s="14" t="s">
        <v>163</v>
      </c>
      <c r="C40" s="14" t="s">
        <v>164</v>
      </c>
      <c r="D40" s="14" t="s">
        <v>53</v>
      </c>
      <c r="E40" s="14"/>
    </row>
    <row r="41" spans="1:5" x14ac:dyDescent="0.3">
      <c r="A41" s="14" t="s">
        <v>165</v>
      </c>
      <c r="B41" s="14" t="s">
        <v>166</v>
      </c>
      <c r="C41" s="14" t="s">
        <v>167</v>
      </c>
      <c r="D41" s="14" t="s">
        <v>53</v>
      </c>
      <c r="E41" s="14"/>
    </row>
    <row r="42" spans="1:5" x14ac:dyDescent="0.3">
      <c r="A42" s="14" t="s">
        <v>168</v>
      </c>
      <c r="B42" s="14" t="s">
        <v>169</v>
      </c>
      <c r="C42" s="14" t="s">
        <v>170</v>
      </c>
      <c r="D42" s="14" t="s">
        <v>53</v>
      </c>
      <c r="E42" s="14"/>
    </row>
    <row r="43" spans="1:5" x14ac:dyDescent="0.3">
      <c r="A43" s="14" t="s">
        <v>171</v>
      </c>
      <c r="B43" s="14" t="s">
        <v>172</v>
      </c>
      <c r="C43" s="14" t="s">
        <v>173</v>
      </c>
      <c r="D43" s="14" t="s">
        <v>53</v>
      </c>
      <c r="E43" s="14"/>
    </row>
    <row r="44" spans="1:5" x14ac:dyDescent="0.3">
      <c r="A44" s="14" t="s">
        <v>174</v>
      </c>
      <c r="B44" s="14" t="s">
        <v>175</v>
      </c>
      <c r="C44" s="14" t="s">
        <v>170</v>
      </c>
      <c r="D44" s="14" t="s">
        <v>53</v>
      </c>
      <c r="E44" s="14"/>
    </row>
    <row r="45" spans="1:5" x14ac:dyDescent="0.3">
      <c r="A45" s="14" t="s">
        <v>176</v>
      </c>
      <c r="B45" s="14" t="s">
        <v>177</v>
      </c>
      <c r="C45" s="14" t="s">
        <v>178</v>
      </c>
      <c r="D45" s="14" t="s">
        <v>53</v>
      </c>
      <c r="E45" s="14"/>
    </row>
    <row r="46" spans="1:5" x14ac:dyDescent="0.3">
      <c r="A46" s="14" t="s">
        <v>179</v>
      </c>
      <c r="B46" s="14" t="s">
        <v>180</v>
      </c>
      <c r="C46" s="14" t="s">
        <v>181</v>
      </c>
      <c r="D46" s="14" t="s">
        <v>53</v>
      </c>
      <c r="E46" s="14"/>
    </row>
    <row r="47" spans="1:5" x14ac:dyDescent="0.3">
      <c r="A47" s="14" t="s">
        <v>182</v>
      </c>
      <c r="B47" s="14" t="s">
        <v>183</v>
      </c>
      <c r="C47" s="14" t="s">
        <v>110</v>
      </c>
      <c r="D47" s="14" t="s">
        <v>53</v>
      </c>
      <c r="E47" s="14"/>
    </row>
    <row r="48" spans="1:5" x14ac:dyDescent="0.3">
      <c r="A48" s="14" t="s">
        <v>184</v>
      </c>
      <c r="B48" s="14" t="s">
        <v>185</v>
      </c>
      <c r="C48" s="14" t="s">
        <v>186</v>
      </c>
      <c r="D48" s="14" t="s">
        <v>53</v>
      </c>
      <c r="E48" s="14"/>
    </row>
    <row r="49" spans="1:5" x14ac:dyDescent="0.3">
      <c r="A49" s="14" t="s">
        <v>187</v>
      </c>
      <c r="B49" s="14" t="s">
        <v>188</v>
      </c>
      <c r="C49" s="14" t="s">
        <v>189</v>
      </c>
      <c r="D49" s="14" t="s">
        <v>53</v>
      </c>
      <c r="E49" s="14"/>
    </row>
    <row r="50" spans="1:5" x14ac:dyDescent="0.3">
      <c r="A50" s="14" t="s">
        <v>190</v>
      </c>
      <c r="B50" s="14" t="s">
        <v>191</v>
      </c>
      <c r="C50" s="14" t="s">
        <v>192</v>
      </c>
      <c r="D50" s="14" t="s">
        <v>53</v>
      </c>
      <c r="E50" s="14"/>
    </row>
    <row r="51" spans="1:5" x14ac:dyDescent="0.3">
      <c r="A51" s="14" t="s">
        <v>193</v>
      </c>
      <c r="B51" s="14" t="s">
        <v>194</v>
      </c>
      <c r="C51" s="14" t="s">
        <v>195</v>
      </c>
      <c r="D51" s="14" t="s">
        <v>53</v>
      </c>
      <c r="E51" s="14"/>
    </row>
    <row r="52" spans="1:5" x14ac:dyDescent="0.3">
      <c r="A52" s="14" t="s">
        <v>196</v>
      </c>
      <c r="B52" s="14" t="s">
        <v>197</v>
      </c>
      <c r="C52" s="14" t="s">
        <v>198</v>
      </c>
      <c r="D52" s="14" t="s">
        <v>53</v>
      </c>
      <c r="E52" s="14"/>
    </row>
    <row r="53" spans="1:5" x14ac:dyDescent="0.3">
      <c r="A53" s="14" t="s">
        <v>199</v>
      </c>
      <c r="B53" s="14" t="s">
        <v>200</v>
      </c>
      <c r="C53" s="14" t="s">
        <v>201</v>
      </c>
      <c r="D53" s="14" t="s">
        <v>53</v>
      </c>
      <c r="E53" s="14"/>
    </row>
    <row r="54" spans="1:5" x14ac:dyDescent="0.3">
      <c r="A54" s="14" t="s">
        <v>202</v>
      </c>
      <c r="B54" s="14" t="s">
        <v>203</v>
      </c>
      <c r="C54" s="14" t="s">
        <v>204</v>
      </c>
      <c r="D54" s="14" t="s">
        <v>53</v>
      </c>
      <c r="E54" s="14"/>
    </row>
    <row r="55" spans="1:5" x14ac:dyDescent="0.3">
      <c r="A55" s="14" t="s">
        <v>205</v>
      </c>
      <c r="B55" s="14" t="s">
        <v>206</v>
      </c>
      <c r="C55" s="14" t="s">
        <v>207</v>
      </c>
      <c r="D55" s="14" t="s">
        <v>53</v>
      </c>
      <c r="E55" s="14"/>
    </row>
    <row r="56" spans="1:5" x14ac:dyDescent="0.3">
      <c r="A56" s="14" t="s">
        <v>208</v>
      </c>
      <c r="B56" s="14" t="s">
        <v>209</v>
      </c>
      <c r="C56" s="14" t="s">
        <v>210</v>
      </c>
      <c r="D56" s="14" t="s">
        <v>53</v>
      </c>
      <c r="E56" s="14"/>
    </row>
    <row r="57" spans="1:5" x14ac:dyDescent="0.3">
      <c r="A57" s="14" t="s">
        <v>211</v>
      </c>
      <c r="B57" s="14" t="s">
        <v>212</v>
      </c>
      <c r="C57" s="14" t="s">
        <v>213</v>
      </c>
      <c r="D57" s="14"/>
      <c r="E57" s="14"/>
    </row>
    <row r="58" spans="1:5" x14ac:dyDescent="0.3">
      <c r="A58" s="14" t="s">
        <v>214</v>
      </c>
      <c r="B58" s="14" t="s">
        <v>215</v>
      </c>
      <c r="C58" s="14" t="s">
        <v>216</v>
      </c>
      <c r="D58" s="14" t="s">
        <v>53</v>
      </c>
      <c r="E58" s="14"/>
    </row>
    <row r="59" spans="1:5" x14ac:dyDescent="0.3">
      <c r="A59" s="14" t="s">
        <v>217</v>
      </c>
      <c r="B59" s="14" t="s">
        <v>218</v>
      </c>
      <c r="C59" s="14" t="s">
        <v>219</v>
      </c>
      <c r="D59" s="14" t="s">
        <v>53</v>
      </c>
      <c r="E59" s="14"/>
    </row>
    <row r="60" spans="1:5" x14ac:dyDescent="0.3">
      <c r="A60" s="14" t="s">
        <v>220</v>
      </c>
      <c r="B60" s="14" t="s">
        <v>221</v>
      </c>
      <c r="C60" s="14" t="s">
        <v>222</v>
      </c>
      <c r="D60" s="14" t="s">
        <v>53</v>
      </c>
      <c r="E60" s="14"/>
    </row>
    <row r="61" spans="1:5" x14ac:dyDescent="0.3">
      <c r="A61" s="14" t="s">
        <v>223</v>
      </c>
      <c r="B61" s="14" t="s">
        <v>224</v>
      </c>
      <c r="C61" s="14" t="s">
        <v>225</v>
      </c>
      <c r="D61" s="14"/>
      <c r="E61" s="14"/>
    </row>
    <row r="62" spans="1:5" x14ac:dyDescent="0.3">
      <c r="A62" s="14" t="s">
        <v>226</v>
      </c>
      <c r="B62" s="14" t="s">
        <v>227</v>
      </c>
      <c r="C62" s="14" t="s">
        <v>228</v>
      </c>
      <c r="D62" s="14" t="s">
        <v>53</v>
      </c>
      <c r="E62" s="14"/>
    </row>
    <row r="63" spans="1:5" x14ac:dyDescent="0.3">
      <c r="A63" s="14" t="s">
        <v>229</v>
      </c>
      <c r="B63" s="14" t="s">
        <v>230</v>
      </c>
      <c r="C63" s="14" t="s">
        <v>231</v>
      </c>
      <c r="D63" s="14" t="s">
        <v>53</v>
      </c>
      <c r="E63" s="14"/>
    </row>
    <row r="64" spans="1:5" x14ac:dyDescent="0.3">
      <c r="A64" s="14" t="s">
        <v>232</v>
      </c>
      <c r="B64" s="14" t="s">
        <v>233</v>
      </c>
      <c r="C64" s="14" t="s">
        <v>234</v>
      </c>
      <c r="D64" s="14" t="s">
        <v>53</v>
      </c>
      <c r="E64" s="14"/>
    </row>
    <row r="65" spans="1:5" x14ac:dyDescent="0.3">
      <c r="A65" s="14" t="s">
        <v>235</v>
      </c>
      <c r="B65" s="14" t="s">
        <v>236</v>
      </c>
      <c r="C65" s="14" t="s">
        <v>110</v>
      </c>
      <c r="D65" s="14" t="s">
        <v>53</v>
      </c>
      <c r="E65" s="14"/>
    </row>
    <row r="66" spans="1:5" x14ac:dyDescent="0.3">
      <c r="A66" s="14" t="s">
        <v>237</v>
      </c>
      <c r="B66" s="14" t="s">
        <v>238</v>
      </c>
      <c r="C66" s="14" t="s">
        <v>239</v>
      </c>
      <c r="D66" s="14" t="s">
        <v>53</v>
      </c>
      <c r="E66" s="14"/>
    </row>
    <row r="67" spans="1:5" x14ac:dyDescent="0.3">
      <c r="A67" s="14" t="s">
        <v>240</v>
      </c>
      <c r="B67" s="14" t="s">
        <v>241</v>
      </c>
      <c r="C67" s="14" t="s">
        <v>110</v>
      </c>
      <c r="D67" s="14" t="s">
        <v>53</v>
      </c>
      <c r="E67" s="14"/>
    </row>
    <row r="68" spans="1:5" x14ac:dyDescent="0.3">
      <c r="A68" s="14" t="s">
        <v>242</v>
      </c>
      <c r="B68" s="14" t="s">
        <v>243</v>
      </c>
      <c r="C68" s="14" t="s">
        <v>244</v>
      </c>
      <c r="D68" s="14"/>
      <c r="E68" s="14"/>
    </row>
    <row r="69" spans="1:5" x14ac:dyDescent="0.3">
      <c r="A69" s="14" t="s">
        <v>245</v>
      </c>
      <c r="B69" s="14" t="s">
        <v>246</v>
      </c>
      <c r="C69" s="14" t="s">
        <v>247</v>
      </c>
      <c r="D69" s="14" t="s">
        <v>53</v>
      </c>
      <c r="E69" s="14"/>
    </row>
    <row r="70" spans="1:5" x14ac:dyDescent="0.3">
      <c r="A70" s="14" t="s">
        <v>248</v>
      </c>
      <c r="B70" s="14" t="s">
        <v>249</v>
      </c>
      <c r="C70" s="14"/>
      <c r="D70" s="14"/>
      <c r="E70" s="14"/>
    </row>
    <row r="71" spans="1:5" x14ac:dyDescent="0.3">
      <c r="A71" s="14" t="s">
        <v>250</v>
      </c>
      <c r="B71" s="14" t="s">
        <v>251</v>
      </c>
      <c r="C71" s="14" t="s">
        <v>252</v>
      </c>
      <c r="D71" s="14" t="s">
        <v>53</v>
      </c>
      <c r="E71" s="14"/>
    </row>
    <row r="72" spans="1:5" x14ac:dyDescent="0.3">
      <c r="A72" s="14" t="s">
        <v>253</v>
      </c>
      <c r="B72" s="14" t="s">
        <v>254</v>
      </c>
      <c r="C72" s="14" t="s">
        <v>255</v>
      </c>
      <c r="D72" s="14" t="s">
        <v>53</v>
      </c>
      <c r="E72" s="14"/>
    </row>
    <row r="73" spans="1:5" x14ac:dyDescent="0.3">
      <c r="A73" s="14" t="s">
        <v>256</v>
      </c>
      <c r="B73" s="14" t="s">
        <v>257</v>
      </c>
      <c r="C73" s="14" t="s">
        <v>258</v>
      </c>
      <c r="D73" s="14" t="s">
        <v>53</v>
      </c>
      <c r="E73" s="14"/>
    </row>
    <row r="74" spans="1:5" x14ac:dyDescent="0.3">
      <c r="A74" s="14" t="s">
        <v>259</v>
      </c>
      <c r="B74" s="14" t="s">
        <v>260</v>
      </c>
      <c r="C74" s="14" t="s">
        <v>261</v>
      </c>
      <c r="D74" s="14" t="s">
        <v>53</v>
      </c>
      <c r="E74" s="14"/>
    </row>
    <row r="75" spans="1:5" x14ac:dyDescent="0.3">
      <c r="A75" s="14" t="s">
        <v>262</v>
      </c>
      <c r="B75" s="14" t="s">
        <v>263</v>
      </c>
      <c r="C75" s="14" t="s">
        <v>264</v>
      </c>
      <c r="D75" s="14" t="s">
        <v>53</v>
      </c>
      <c r="E75" s="14"/>
    </row>
    <row r="76" spans="1:5" x14ac:dyDescent="0.3">
      <c r="A76" s="14" t="s">
        <v>265</v>
      </c>
      <c r="B76" s="14" t="s">
        <v>266</v>
      </c>
      <c r="C76" s="14" t="s">
        <v>267</v>
      </c>
      <c r="D76" s="14" t="s">
        <v>53</v>
      </c>
      <c r="E76" s="14"/>
    </row>
    <row r="77" spans="1:5" x14ac:dyDescent="0.3">
      <c r="A77" s="14" t="s">
        <v>268</v>
      </c>
      <c r="B77" s="14" t="s">
        <v>269</v>
      </c>
      <c r="C77" s="14" t="s">
        <v>270</v>
      </c>
      <c r="D77" s="14" t="s">
        <v>53</v>
      </c>
      <c r="E77" s="14"/>
    </row>
    <row r="78" spans="1:5" x14ac:dyDescent="0.3">
      <c r="A78" s="14" t="s">
        <v>271</v>
      </c>
      <c r="B78" s="14" t="s">
        <v>272</v>
      </c>
      <c r="C78" s="14" t="s">
        <v>273</v>
      </c>
      <c r="D78" s="14" t="s">
        <v>53</v>
      </c>
      <c r="E78" s="14"/>
    </row>
    <row r="79" spans="1:5" x14ac:dyDescent="0.3">
      <c r="A79" s="14" t="s">
        <v>274</v>
      </c>
      <c r="B79" s="14" t="s">
        <v>275</v>
      </c>
      <c r="C79" s="14" t="s">
        <v>276</v>
      </c>
      <c r="D79" s="14"/>
      <c r="E79" s="14" t="s">
        <v>277</v>
      </c>
    </row>
    <row r="80" spans="1:5" x14ac:dyDescent="0.3">
      <c r="A80" s="14" t="s">
        <v>278</v>
      </c>
      <c r="B80" s="14" t="s">
        <v>279</v>
      </c>
      <c r="C80" s="14" t="s">
        <v>280</v>
      </c>
      <c r="D80" s="14" t="s">
        <v>53</v>
      </c>
      <c r="E80" s="14"/>
    </row>
    <row r="81" spans="1:5" x14ac:dyDescent="0.3">
      <c r="A81" s="14" t="s">
        <v>281</v>
      </c>
      <c r="B81" s="14" t="s">
        <v>282</v>
      </c>
      <c r="C81" s="14" t="s">
        <v>283</v>
      </c>
      <c r="D81" s="14" t="s">
        <v>53</v>
      </c>
      <c r="E81" s="14"/>
    </row>
    <row r="82" spans="1:5" x14ac:dyDescent="0.3">
      <c r="A82" s="14" t="s">
        <v>284</v>
      </c>
      <c r="B82" s="14" t="s">
        <v>285</v>
      </c>
      <c r="C82" s="14" t="s">
        <v>286</v>
      </c>
      <c r="D82" s="14" t="s">
        <v>53</v>
      </c>
      <c r="E82" s="14"/>
    </row>
    <row r="83" spans="1:5" x14ac:dyDescent="0.3">
      <c r="A83" s="14" t="s">
        <v>287</v>
      </c>
      <c r="B83" s="14" t="s">
        <v>288</v>
      </c>
      <c r="C83" s="14" t="s">
        <v>289</v>
      </c>
      <c r="D83" s="14" t="s">
        <v>53</v>
      </c>
      <c r="E83" s="14"/>
    </row>
    <row r="84" spans="1:5" x14ac:dyDescent="0.3">
      <c r="A84" s="14" t="s">
        <v>290</v>
      </c>
      <c r="B84" s="14" t="s">
        <v>291</v>
      </c>
      <c r="C84" s="14" t="s">
        <v>292</v>
      </c>
      <c r="D84" s="14" t="s">
        <v>53</v>
      </c>
      <c r="E84" s="14"/>
    </row>
    <row r="85" spans="1:5" x14ac:dyDescent="0.3">
      <c r="A85" s="14" t="s">
        <v>293</v>
      </c>
      <c r="B85" s="14" t="s">
        <v>294</v>
      </c>
      <c r="C85" s="14" t="s">
        <v>295</v>
      </c>
      <c r="D85" s="14" t="s">
        <v>53</v>
      </c>
      <c r="E85" s="14"/>
    </row>
    <row r="86" spans="1:5" x14ac:dyDescent="0.3">
      <c r="A86" s="14" t="s">
        <v>296</v>
      </c>
      <c r="B86" s="14" t="s">
        <v>297</v>
      </c>
      <c r="C86" s="14" t="s">
        <v>298</v>
      </c>
      <c r="D86" s="14" t="s">
        <v>53</v>
      </c>
      <c r="E86" s="14"/>
    </row>
    <row r="87" spans="1:5" x14ac:dyDescent="0.3">
      <c r="A87" s="14" t="s">
        <v>299</v>
      </c>
      <c r="B87" s="14" t="s">
        <v>300</v>
      </c>
      <c r="C87" s="14" t="s">
        <v>301</v>
      </c>
      <c r="D87" s="14" t="s">
        <v>53</v>
      </c>
      <c r="E87" s="14"/>
    </row>
    <row r="88" spans="1:5" x14ac:dyDescent="0.3">
      <c r="A88" s="14" t="s">
        <v>302</v>
      </c>
      <c r="B88" s="14" t="s">
        <v>303</v>
      </c>
      <c r="C88" s="14" t="s">
        <v>304</v>
      </c>
      <c r="D88" s="14" t="s">
        <v>53</v>
      </c>
      <c r="E88" s="14"/>
    </row>
    <row r="89" spans="1:5" x14ac:dyDescent="0.3">
      <c r="A89" s="14" t="s">
        <v>305</v>
      </c>
      <c r="B89" s="14" t="s">
        <v>306</v>
      </c>
      <c r="C89" s="14" t="s">
        <v>307</v>
      </c>
      <c r="D89" s="14" t="s">
        <v>53</v>
      </c>
      <c r="E89" s="14"/>
    </row>
    <row r="90" spans="1:5" x14ac:dyDescent="0.3">
      <c r="A90" s="14" t="s">
        <v>308</v>
      </c>
      <c r="B90" s="14" t="s">
        <v>309</v>
      </c>
      <c r="C90" s="14" t="s">
        <v>310</v>
      </c>
      <c r="D90" s="14"/>
      <c r="E90" s="14"/>
    </row>
    <row r="91" spans="1:5" x14ac:dyDescent="0.3">
      <c r="A91" s="14" t="s">
        <v>311</v>
      </c>
      <c r="B91" s="14" t="s">
        <v>312</v>
      </c>
      <c r="C91" s="14" t="s">
        <v>313</v>
      </c>
      <c r="D91" s="14" t="s">
        <v>53</v>
      </c>
      <c r="E91" s="14"/>
    </row>
    <row r="92" spans="1:5" x14ac:dyDescent="0.3">
      <c r="A92" s="14" t="s">
        <v>314</v>
      </c>
      <c r="B92" s="14" t="s">
        <v>315</v>
      </c>
      <c r="C92" s="14" t="s">
        <v>316</v>
      </c>
      <c r="D92" s="14" t="s">
        <v>53</v>
      </c>
      <c r="E92" s="14"/>
    </row>
    <row r="93" spans="1:5" x14ac:dyDescent="0.3">
      <c r="A93" s="14" t="s">
        <v>317</v>
      </c>
      <c r="B93" s="14" t="s">
        <v>318</v>
      </c>
      <c r="C93" s="14" t="s">
        <v>319</v>
      </c>
      <c r="D93" s="14" t="s">
        <v>53</v>
      </c>
      <c r="E93" s="14"/>
    </row>
    <row r="94" spans="1:5" x14ac:dyDescent="0.3">
      <c r="A94" s="14" t="s">
        <v>320</v>
      </c>
      <c r="B94" s="14" t="s">
        <v>321</v>
      </c>
      <c r="C94" s="14" t="s">
        <v>322</v>
      </c>
      <c r="D94" s="14" t="s">
        <v>53</v>
      </c>
      <c r="E94" s="14"/>
    </row>
    <row r="95" spans="1:5" x14ac:dyDescent="0.3">
      <c r="A95" s="14" t="s">
        <v>323</v>
      </c>
      <c r="B95" s="14" t="s">
        <v>324</v>
      </c>
      <c r="C95" s="14" t="s">
        <v>325</v>
      </c>
      <c r="D95" s="14" t="s">
        <v>53</v>
      </c>
      <c r="E95" s="14"/>
    </row>
    <row r="96" spans="1:5" x14ac:dyDescent="0.3">
      <c r="A96" s="14" t="s">
        <v>326</v>
      </c>
      <c r="B96" s="14" t="s">
        <v>327</v>
      </c>
      <c r="C96" s="14" t="s">
        <v>328</v>
      </c>
      <c r="D96" s="14" t="s">
        <v>53</v>
      </c>
      <c r="E96" s="14"/>
    </row>
    <row r="97" spans="1:5" x14ac:dyDescent="0.3">
      <c r="A97" s="14" t="s">
        <v>329</v>
      </c>
      <c r="B97" s="14" t="s">
        <v>330</v>
      </c>
      <c r="C97" s="14" t="s">
        <v>331</v>
      </c>
      <c r="D97" s="14" t="s">
        <v>53</v>
      </c>
      <c r="E97" s="14"/>
    </row>
    <row r="98" spans="1:5" x14ac:dyDescent="0.3">
      <c r="A98" s="14" t="s">
        <v>332</v>
      </c>
      <c r="B98" s="14" t="s">
        <v>333</v>
      </c>
      <c r="C98" s="14" t="s">
        <v>334</v>
      </c>
      <c r="D98" s="14" t="s">
        <v>53</v>
      </c>
      <c r="E98" s="14"/>
    </row>
    <row r="99" spans="1:5" x14ac:dyDescent="0.3">
      <c r="A99" s="14" t="s">
        <v>335</v>
      </c>
      <c r="B99" s="14" t="s">
        <v>336</v>
      </c>
      <c r="C99" s="14" t="s">
        <v>337</v>
      </c>
      <c r="D99" s="14" t="s">
        <v>53</v>
      </c>
      <c r="E99" s="14"/>
    </row>
    <row r="100" spans="1:5" x14ac:dyDescent="0.3">
      <c r="A100" s="14" t="s">
        <v>338</v>
      </c>
      <c r="B100" s="14" t="s">
        <v>339</v>
      </c>
      <c r="C100" s="14" t="s">
        <v>340</v>
      </c>
      <c r="D100" s="14" t="s">
        <v>53</v>
      </c>
      <c r="E100" s="14"/>
    </row>
    <row r="101" spans="1:5" x14ac:dyDescent="0.3">
      <c r="A101" s="14" t="s">
        <v>341</v>
      </c>
      <c r="B101" s="14" t="s">
        <v>342</v>
      </c>
      <c r="C101" s="14" t="s">
        <v>343</v>
      </c>
      <c r="D101" s="14" t="s">
        <v>53</v>
      </c>
      <c r="E101" s="14"/>
    </row>
    <row r="102" spans="1:5" x14ac:dyDescent="0.3">
      <c r="A102" s="14" t="s">
        <v>344</v>
      </c>
      <c r="B102" s="14" t="s">
        <v>345</v>
      </c>
      <c r="C102" s="14" t="s">
        <v>346</v>
      </c>
      <c r="D102" s="14" t="s">
        <v>53</v>
      </c>
      <c r="E102" s="14"/>
    </row>
    <row r="103" spans="1:5" x14ac:dyDescent="0.3">
      <c r="A103" s="14" t="s">
        <v>347</v>
      </c>
      <c r="B103" s="14" t="s">
        <v>348</v>
      </c>
      <c r="C103" s="14" t="s">
        <v>349</v>
      </c>
      <c r="D103" s="14" t="s">
        <v>53</v>
      </c>
      <c r="E103" s="14"/>
    </row>
    <row r="104" spans="1:5" x14ac:dyDescent="0.3">
      <c r="A104" s="14" t="s">
        <v>350</v>
      </c>
      <c r="B104" s="14" t="s">
        <v>351</v>
      </c>
      <c r="C104" s="14" t="s">
        <v>352</v>
      </c>
      <c r="D104" s="14" t="s">
        <v>53</v>
      </c>
      <c r="E104" s="14"/>
    </row>
    <row r="105" spans="1:5" x14ac:dyDescent="0.3">
      <c r="A105" s="14" t="s">
        <v>353</v>
      </c>
      <c r="B105" s="14" t="s">
        <v>354</v>
      </c>
      <c r="C105" s="14" t="s">
        <v>355</v>
      </c>
      <c r="D105" s="14" t="s">
        <v>53</v>
      </c>
      <c r="E105" s="14"/>
    </row>
    <row r="106" spans="1:5" x14ac:dyDescent="0.3">
      <c r="A106" s="14" t="s">
        <v>356</v>
      </c>
      <c r="B106" s="14" t="s">
        <v>357</v>
      </c>
      <c r="C106" s="14" t="s">
        <v>358</v>
      </c>
      <c r="D106" s="14" t="s">
        <v>53</v>
      </c>
      <c r="E106" s="14"/>
    </row>
    <row r="107" spans="1:5" x14ac:dyDescent="0.3">
      <c r="A107" s="14" t="s">
        <v>359</v>
      </c>
      <c r="B107" s="14" t="s">
        <v>360</v>
      </c>
      <c r="C107" s="14" t="s">
        <v>361</v>
      </c>
      <c r="D107" s="14" t="s">
        <v>53</v>
      </c>
      <c r="E107" s="14"/>
    </row>
    <row r="108" spans="1:5" x14ac:dyDescent="0.3">
      <c r="A108" s="14" t="s">
        <v>362</v>
      </c>
      <c r="B108" s="14" t="s">
        <v>363</v>
      </c>
      <c r="C108" s="14" t="s">
        <v>364</v>
      </c>
      <c r="D108" s="14" t="s">
        <v>53</v>
      </c>
      <c r="E108" s="14"/>
    </row>
    <row r="109" spans="1:5" x14ac:dyDescent="0.3">
      <c r="A109" s="14" t="s">
        <v>365</v>
      </c>
      <c r="B109" s="14" t="s">
        <v>366</v>
      </c>
      <c r="C109" s="14" t="s">
        <v>367</v>
      </c>
      <c r="D109" s="14" t="s">
        <v>53</v>
      </c>
      <c r="E109" s="14"/>
    </row>
    <row r="110" spans="1:5" x14ac:dyDescent="0.3">
      <c r="A110" s="14" t="s">
        <v>368</v>
      </c>
      <c r="B110" s="14" t="s">
        <v>369</v>
      </c>
      <c r="C110" s="14" t="s">
        <v>110</v>
      </c>
      <c r="D110" s="14" t="s">
        <v>53</v>
      </c>
      <c r="E110" s="14"/>
    </row>
    <row r="111" spans="1:5" x14ac:dyDescent="0.3">
      <c r="A111" s="14" t="s">
        <v>370</v>
      </c>
      <c r="B111" s="14" t="s">
        <v>371</v>
      </c>
      <c r="C111" s="14" t="s">
        <v>372</v>
      </c>
      <c r="D111" s="14" t="s">
        <v>53</v>
      </c>
      <c r="E111" s="14"/>
    </row>
    <row r="112" spans="1:5" x14ac:dyDescent="0.3">
      <c r="A112" s="14" t="s">
        <v>373</v>
      </c>
      <c r="B112" s="14" t="s">
        <v>374</v>
      </c>
      <c r="C112" s="14" t="s">
        <v>375</v>
      </c>
      <c r="D112" s="14"/>
      <c r="E112" s="14"/>
    </row>
    <row r="113" spans="1:5" x14ac:dyDescent="0.3">
      <c r="A113" s="14" t="s">
        <v>376</v>
      </c>
      <c r="B113" s="14" t="s">
        <v>377</v>
      </c>
      <c r="C113" s="14" t="s">
        <v>378</v>
      </c>
      <c r="D113" s="14"/>
      <c r="E113" s="14"/>
    </row>
    <row r="114" spans="1:5" x14ac:dyDescent="0.3">
      <c r="A114" s="14" t="s">
        <v>379</v>
      </c>
      <c r="B114" s="14" t="s">
        <v>380</v>
      </c>
      <c r="C114" s="14" t="s">
        <v>381</v>
      </c>
      <c r="D114" s="14"/>
      <c r="E114" s="14" t="s">
        <v>382</v>
      </c>
    </row>
    <row r="115" spans="1:5" x14ac:dyDescent="0.3">
      <c r="A115" s="14" t="s">
        <v>383</v>
      </c>
      <c r="B115" s="14" t="s">
        <v>384</v>
      </c>
      <c r="C115" s="14" t="s">
        <v>385</v>
      </c>
      <c r="D115" s="14"/>
      <c r="E115" s="14"/>
    </row>
    <row r="116" spans="1:5" x14ac:dyDescent="0.3">
      <c r="A116" s="14" t="s">
        <v>386</v>
      </c>
      <c r="B116" s="14" t="s">
        <v>387</v>
      </c>
      <c r="C116" s="14" t="s">
        <v>388</v>
      </c>
      <c r="D116" s="14" t="s">
        <v>53</v>
      </c>
      <c r="E116" s="14"/>
    </row>
    <row r="117" spans="1:5" x14ac:dyDescent="0.3">
      <c r="A117" s="14" t="s">
        <v>389</v>
      </c>
      <c r="B117" s="14" t="s">
        <v>390</v>
      </c>
      <c r="C117" s="14" t="s">
        <v>391</v>
      </c>
      <c r="D117" s="14" t="s">
        <v>53</v>
      </c>
      <c r="E117" s="14"/>
    </row>
    <row r="118" spans="1:5" x14ac:dyDescent="0.3">
      <c r="A118" s="14" t="s">
        <v>392</v>
      </c>
      <c r="B118" s="14" t="s">
        <v>393</v>
      </c>
      <c r="C118" s="14" t="s">
        <v>394</v>
      </c>
      <c r="D118" s="14" t="s">
        <v>53</v>
      </c>
      <c r="E118" s="14"/>
    </row>
    <row r="119" spans="1:5" x14ac:dyDescent="0.3">
      <c r="A119" s="14" t="s">
        <v>395</v>
      </c>
      <c r="B119" s="14" t="s">
        <v>396</v>
      </c>
      <c r="C119" s="14" t="s">
        <v>397</v>
      </c>
      <c r="D119" s="14" t="s">
        <v>53</v>
      </c>
      <c r="E119" s="14"/>
    </row>
    <row r="120" spans="1:5" x14ac:dyDescent="0.3">
      <c r="A120" s="14" t="s">
        <v>398</v>
      </c>
      <c r="B120" s="14" t="s">
        <v>399</v>
      </c>
      <c r="C120" s="14" t="s">
        <v>110</v>
      </c>
      <c r="D120" s="14" t="s">
        <v>53</v>
      </c>
      <c r="E120" s="14"/>
    </row>
    <row r="121" spans="1:5" x14ac:dyDescent="0.3">
      <c r="A121" s="14" t="s">
        <v>400</v>
      </c>
      <c r="B121" s="14" t="s">
        <v>401</v>
      </c>
      <c r="C121" s="14" t="s">
        <v>402</v>
      </c>
      <c r="D121" s="14" t="s">
        <v>53</v>
      </c>
      <c r="E121" s="14"/>
    </row>
    <row r="122" spans="1:5" x14ac:dyDescent="0.3">
      <c r="A122" s="14" t="s">
        <v>403</v>
      </c>
      <c r="B122" s="14" t="s">
        <v>404</v>
      </c>
      <c r="C122" s="14" t="s">
        <v>110</v>
      </c>
      <c r="D122" s="14" t="s">
        <v>53</v>
      </c>
      <c r="E122" s="14"/>
    </row>
    <row r="123" spans="1:5" x14ac:dyDescent="0.3">
      <c r="A123" s="14" t="s">
        <v>405</v>
      </c>
      <c r="B123" s="14" t="s">
        <v>406</v>
      </c>
      <c r="C123" s="14" t="s">
        <v>407</v>
      </c>
      <c r="D123" s="14" t="s">
        <v>53</v>
      </c>
      <c r="E123" s="14"/>
    </row>
    <row r="124" spans="1:5" x14ac:dyDescent="0.3">
      <c r="A124" s="14" t="s">
        <v>408</v>
      </c>
      <c r="B124" s="14" t="s">
        <v>409</v>
      </c>
      <c r="C124" s="14" t="s">
        <v>410</v>
      </c>
      <c r="D124" s="14" t="s">
        <v>53</v>
      </c>
      <c r="E124" s="14"/>
    </row>
    <row r="125" spans="1:5" x14ac:dyDescent="0.3">
      <c r="A125" s="14" t="s">
        <v>411</v>
      </c>
      <c r="B125" s="14" t="s">
        <v>412</v>
      </c>
      <c r="C125" s="14" t="s">
        <v>413</v>
      </c>
      <c r="D125" s="14" t="s">
        <v>53</v>
      </c>
      <c r="E125" s="14"/>
    </row>
    <row r="126" spans="1:5" x14ac:dyDescent="0.3">
      <c r="A126" s="14" t="s">
        <v>414</v>
      </c>
      <c r="B126" s="14" t="s">
        <v>415</v>
      </c>
      <c r="C126" s="14" t="s">
        <v>416</v>
      </c>
      <c r="D126" s="14" t="s">
        <v>53</v>
      </c>
      <c r="E126" s="14"/>
    </row>
    <row r="127" spans="1:5" x14ac:dyDescent="0.3">
      <c r="A127" s="14" t="s">
        <v>417</v>
      </c>
      <c r="B127" s="14" t="s">
        <v>418</v>
      </c>
      <c r="C127" s="14" t="s">
        <v>419</v>
      </c>
      <c r="D127" s="14" t="s">
        <v>53</v>
      </c>
      <c r="E127" s="14"/>
    </row>
    <row r="128" spans="1:5" x14ac:dyDescent="0.3">
      <c r="A128" s="14" t="s">
        <v>420</v>
      </c>
      <c r="B128" s="14" t="s">
        <v>421</v>
      </c>
      <c r="C128" s="14"/>
      <c r="D128" s="14"/>
      <c r="E128" s="14"/>
    </row>
    <row r="129" spans="1:5" x14ac:dyDescent="0.3">
      <c r="A129" s="14" t="s">
        <v>422</v>
      </c>
      <c r="B129" s="14" t="s">
        <v>423</v>
      </c>
      <c r="C129" s="14" t="s">
        <v>424</v>
      </c>
      <c r="D129" s="14" t="s">
        <v>53</v>
      </c>
      <c r="E129" s="14"/>
    </row>
    <row r="130" spans="1:5" x14ac:dyDescent="0.3">
      <c r="A130" s="14" t="s">
        <v>425</v>
      </c>
      <c r="B130" s="14" t="s">
        <v>426</v>
      </c>
      <c r="C130" s="14" t="s">
        <v>427</v>
      </c>
      <c r="D130" s="14" t="s">
        <v>53</v>
      </c>
      <c r="E130" s="14"/>
    </row>
    <row r="131" spans="1:5" x14ac:dyDescent="0.3">
      <c r="A131" s="14" t="s">
        <v>428</v>
      </c>
      <c r="B131" s="14" t="s">
        <v>429</v>
      </c>
      <c r="C131" s="14" t="s">
        <v>430</v>
      </c>
      <c r="D131" s="14" t="s">
        <v>53</v>
      </c>
      <c r="E131" s="14"/>
    </row>
    <row r="132" spans="1:5" x14ac:dyDescent="0.3">
      <c r="A132" s="14" t="s">
        <v>431</v>
      </c>
      <c r="B132" s="14" t="s">
        <v>432</v>
      </c>
      <c r="C132" s="14" t="s">
        <v>110</v>
      </c>
      <c r="D132" s="14" t="s">
        <v>53</v>
      </c>
      <c r="E132" s="14"/>
    </row>
    <row r="133" spans="1:5" x14ac:dyDescent="0.3">
      <c r="A133" s="14" t="s">
        <v>433</v>
      </c>
      <c r="B133" s="14" t="s">
        <v>434</v>
      </c>
      <c r="C133" s="14" t="s">
        <v>435</v>
      </c>
      <c r="D133" s="14" t="s">
        <v>53</v>
      </c>
      <c r="E133" s="14"/>
    </row>
    <row r="134" spans="1:5" x14ac:dyDescent="0.3">
      <c r="A134" s="14" t="s">
        <v>436</v>
      </c>
      <c r="B134" s="14" t="s">
        <v>437</v>
      </c>
      <c r="C134" s="14" t="s">
        <v>438</v>
      </c>
      <c r="D134" s="14" t="s">
        <v>53</v>
      </c>
      <c r="E134" s="14"/>
    </row>
    <row r="135" spans="1:5" x14ac:dyDescent="0.3">
      <c r="A135" s="14" t="s">
        <v>439</v>
      </c>
      <c r="B135" s="14" t="s">
        <v>440</v>
      </c>
      <c r="C135" s="14" t="s">
        <v>441</v>
      </c>
      <c r="D135" s="14" t="s">
        <v>53</v>
      </c>
      <c r="E135" s="14"/>
    </row>
    <row r="136" spans="1:5" x14ac:dyDescent="0.3">
      <c r="A136" s="14" t="s">
        <v>442</v>
      </c>
      <c r="B136" s="14" t="s">
        <v>443</v>
      </c>
      <c r="C136" s="14" t="s">
        <v>444</v>
      </c>
      <c r="D136" s="14" t="s">
        <v>53</v>
      </c>
      <c r="E136" s="14"/>
    </row>
    <row r="137" spans="1:5" x14ac:dyDescent="0.3">
      <c r="A137" s="14" t="s">
        <v>445</v>
      </c>
      <c r="B137" s="14" t="s">
        <v>446</v>
      </c>
      <c r="C137" s="14" t="s">
        <v>447</v>
      </c>
      <c r="D137" s="14" t="s">
        <v>53</v>
      </c>
      <c r="E137" s="14"/>
    </row>
    <row r="138" spans="1:5" x14ac:dyDescent="0.3">
      <c r="A138" s="14" t="s">
        <v>448</v>
      </c>
      <c r="B138" s="14" t="s">
        <v>449</v>
      </c>
      <c r="C138" s="14" t="s">
        <v>450</v>
      </c>
      <c r="D138" s="14" t="s">
        <v>53</v>
      </c>
      <c r="E138" s="14"/>
    </row>
    <row r="139" spans="1:5" x14ac:dyDescent="0.3">
      <c r="A139" s="14" t="s">
        <v>451</v>
      </c>
      <c r="B139" s="14" t="s">
        <v>452</v>
      </c>
      <c r="C139" s="14" t="s">
        <v>453</v>
      </c>
      <c r="D139" s="14" t="s">
        <v>53</v>
      </c>
      <c r="E139" s="14"/>
    </row>
    <row r="140" spans="1:5" x14ac:dyDescent="0.3">
      <c r="A140" s="14" t="s">
        <v>454</v>
      </c>
      <c r="B140" s="14" t="s">
        <v>455</v>
      </c>
      <c r="C140" s="14" t="s">
        <v>456</v>
      </c>
      <c r="D140" s="14" t="s">
        <v>53</v>
      </c>
      <c r="E140" s="14"/>
    </row>
    <row r="141" spans="1:5" x14ac:dyDescent="0.3">
      <c r="A141" s="14" t="s">
        <v>457</v>
      </c>
      <c r="B141" s="14" t="s">
        <v>458</v>
      </c>
      <c r="C141" s="14" t="s">
        <v>459</v>
      </c>
      <c r="D141" s="14" t="s">
        <v>53</v>
      </c>
      <c r="E141" s="14"/>
    </row>
    <row r="142" spans="1:5" x14ac:dyDescent="0.3">
      <c r="A142" s="14" t="s">
        <v>460</v>
      </c>
      <c r="B142" s="14" t="s">
        <v>461</v>
      </c>
      <c r="C142" s="14" t="s">
        <v>462</v>
      </c>
      <c r="D142" s="14" t="s">
        <v>53</v>
      </c>
      <c r="E142" s="14"/>
    </row>
    <row r="143" spans="1:5" x14ac:dyDescent="0.3">
      <c r="A143" s="14" t="s">
        <v>463</v>
      </c>
      <c r="B143" s="14" t="s">
        <v>464</v>
      </c>
      <c r="C143" s="14" t="s">
        <v>465</v>
      </c>
      <c r="D143" s="14" t="s">
        <v>53</v>
      </c>
      <c r="E143" s="14"/>
    </row>
    <row r="144" spans="1:5" x14ac:dyDescent="0.3">
      <c r="A144" s="14" t="s">
        <v>466</v>
      </c>
      <c r="B144" s="14" t="s">
        <v>467</v>
      </c>
      <c r="C144" s="14" t="s">
        <v>468</v>
      </c>
      <c r="D144" s="14" t="s">
        <v>53</v>
      </c>
      <c r="E144" s="14"/>
    </row>
    <row r="145" spans="1:5" x14ac:dyDescent="0.3">
      <c r="A145" s="14" t="s">
        <v>469</v>
      </c>
      <c r="B145" s="14" t="s">
        <v>470</v>
      </c>
      <c r="C145" s="14" t="s">
        <v>110</v>
      </c>
      <c r="D145" s="14" t="s">
        <v>53</v>
      </c>
      <c r="E145" s="14"/>
    </row>
    <row r="146" spans="1:5" x14ac:dyDescent="0.3">
      <c r="A146" s="14" t="s">
        <v>471</v>
      </c>
      <c r="B146" s="14" t="s">
        <v>472</v>
      </c>
      <c r="C146" s="14" t="s">
        <v>473</v>
      </c>
      <c r="D146" s="14" t="s">
        <v>53</v>
      </c>
      <c r="E146" s="14"/>
    </row>
    <row r="147" spans="1:5" x14ac:dyDescent="0.3">
      <c r="A147" s="14" t="s">
        <v>474</v>
      </c>
      <c r="B147" s="14" t="s">
        <v>475</v>
      </c>
      <c r="C147" s="14" t="s">
        <v>476</v>
      </c>
      <c r="D147" s="14" t="s">
        <v>53</v>
      </c>
      <c r="E147" s="14"/>
    </row>
    <row r="148" spans="1:5" x14ac:dyDescent="0.3">
      <c r="A148" s="14" t="s">
        <v>477</v>
      </c>
      <c r="B148" s="14" t="s">
        <v>478</v>
      </c>
      <c r="C148" s="14" t="s">
        <v>479</v>
      </c>
      <c r="D148" s="14" t="s">
        <v>53</v>
      </c>
      <c r="E148" s="14"/>
    </row>
    <row r="149" spans="1:5" x14ac:dyDescent="0.3">
      <c r="A149" s="14" t="s">
        <v>480</v>
      </c>
      <c r="B149" s="14" t="s">
        <v>481</v>
      </c>
      <c r="C149" s="14" t="s">
        <v>482</v>
      </c>
      <c r="D149" s="14" t="s">
        <v>53</v>
      </c>
      <c r="E149" s="14"/>
    </row>
    <row r="150" spans="1:5" x14ac:dyDescent="0.3">
      <c r="A150" s="14" t="s">
        <v>483</v>
      </c>
      <c r="B150" s="14" t="s">
        <v>484</v>
      </c>
      <c r="C150" s="14" t="s">
        <v>485</v>
      </c>
      <c r="D150" s="14" t="s">
        <v>53</v>
      </c>
      <c r="E150" s="14"/>
    </row>
    <row r="151" spans="1:5" x14ac:dyDescent="0.3">
      <c r="A151" s="14" t="s">
        <v>486</v>
      </c>
      <c r="B151" s="14" t="s">
        <v>487</v>
      </c>
      <c r="C151" s="14" t="s">
        <v>110</v>
      </c>
      <c r="D151" s="14" t="s">
        <v>53</v>
      </c>
      <c r="E151" s="14"/>
    </row>
    <row r="152" spans="1:5" x14ac:dyDescent="0.3">
      <c r="A152" s="14" t="s">
        <v>488</v>
      </c>
      <c r="B152" s="14" t="s">
        <v>489</v>
      </c>
      <c r="C152" s="14" t="s">
        <v>490</v>
      </c>
      <c r="D152" s="14" t="s">
        <v>53</v>
      </c>
      <c r="E152" s="14"/>
    </row>
    <row r="153" spans="1:5" x14ac:dyDescent="0.3">
      <c r="A153" s="14" t="s">
        <v>491</v>
      </c>
      <c r="B153" s="14" t="s">
        <v>492</v>
      </c>
      <c r="C153" s="14" t="s">
        <v>493</v>
      </c>
      <c r="D153" s="14" t="s">
        <v>53</v>
      </c>
      <c r="E153" s="14"/>
    </row>
    <row r="154" spans="1:5" x14ac:dyDescent="0.3">
      <c r="A154" s="14" t="s">
        <v>494</v>
      </c>
      <c r="B154" s="14" t="s">
        <v>409</v>
      </c>
      <c r="C154" s="14" t="s">
        <v>495</v>
      </c>
      <c r="D154" s="14" t="s">
        <v>53</v>
      </c>
      <c r="E154" s="14"/>
    </row>
    <row r="155" spans="1:5" x14ac:dyDescent="0.3">
      <c r="A155" s="14" t="s">
        <v>496</v>
      </c>
      <c r="B155" s="14" t="s">
        <v>497</v>
      </c>
      <c r="C155" s="14" t="s">
        <v>498</v>
      </c>
      <c r="D155" s="14" t="s">
        <v>53</v>
      </c>
      <c r="E155" s="14"/>
    </row>
    <row r="156" spans="1:5" x14ac:dyDescent="0.3">
      <c r="A156" s="14" t="s">
        <v>499</v>
      </c>
      <c r="B156" s="14" t="s">
        <v>500</v>
      </c>
      <c r="C156" s="14" t="s">
        <v>501</v>
      </c>
      <c r="D156" s="14" t="s">
        <v>53</v>
      </c>
      <c r="E156" s="14"/>
    </row>
    <row r="157" spans="1:5" x14ac:dyDescent="0.3">
      <c r="A157" s="14" t="s">
        <v>502</v>
      </c>
      <c r="B157" s="14" t="s">
        <v>503</v>
      </c>
      <c r="C157" s="14" t="s">
        <v>504</v>
      </c>
      <c r="D157" s="14" t="s">
        <v>53</v>
      </c>
      <c r="E157" s="14"/>
    </row>
    <row r="158" spans="1:5" x14ac:dyDescent="0.3">
      <c r="A158" s="14" t="s">
        <v>505</v>
      </c>
      <c r="B158" s="14" t="s">
        <v>506</v>
      </c>
      <c r="C158" s="14" t="s">
        <v>507</v>
      </c>
      <c r="D158" s="14" t="s">
        <v>53</v>
      </c>
      <c r="E158" s="14"/>
    </row>
    <row r="159" spans="1:5" x14ac:dyDescent="0.3">
      <c r="A159" s="14" t="s">
        <v>508</v>
      </c>
      <c r="B159" s="14" t="s">
        <v>509</v>
      </c>
      <c r="C159" s="14" t="s">
        <v>110</v>
      </c>
      <c r="D159" s="14" t="s">
        <v>53</v>
      </c>
      <c r="E159" s="14"/>
    </row>
  </sheetData>
  <autoFilter ref="A1:D1" xr:uid="{40B55D1F-434D-4FD3-976D-855E66AB2590}"/>
  <hyperlinks>
    <hyperlink ref="C7" r:id="rId1" xr:uid="{F511C480-CA6B-4D4E-A1CA-06F09199F45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C354C-49BC-4A80-A5A7-D972C804897A}">
  <dimension ref="A1:D159"/>
  <sheetViews>
    <sheetView topLeftCell="A19" workbookViewId="0">
      <selection activeCell="C1" sqref="C1:C7"/>
    </sheetView>
  </sheetViews>
  <sheetFormatPr defaultRowHeight="14.4" x14ac:dyDescent="0.3"/>
  <cols>
    <col min="1" max="1" width="18.77734375" customWidth="1"/>
    <col min="2" max="2" width="32.33203125" customWidth="1"/>
    <col min="3" max="3" width="30.44140625" customWidth="1"/>
    <col min="4" max="4" width="25.109375" customWidth="1"/>
  </cols>
  <sheetData>
    <row r="1" spans="1:4" x14ac:dyDescent="0.3">
      <c r="A1" s="55" t="s">
        <v>511</v>
      </c>
      <c r="B1" s="55" t="s">
        <v>512</v>
      </c>
      <c r="C1" s="55" t="s">
        <v>513</v>
      </c>
      <c r="D1" s="55" t="s">
        <v>514</v>
      </c>
    </row>
    <row r="2" spans="1:4" ht="42" x14ac:dyDescent="0.3">
      <c r="A2" s="56" t="s">
        <v>50</v>
      </c>
      <c r="B2" s="56" t="s">
        <v>515</v>
      </c>
      <c r="C2" s="57" t="s">
        <v>516</v>
      </c>
      <c r="D2" s="58" t="s">
        <v>517</v>
      </c>
    </row>
    <row r="3" spans="1:4" ht="69" x14ac:dyDescent="0.3">
      <c r="A3" s="56" t="s">
        <v>54</v>
      </c>
      <c r="B3" s="56" t="s">
        <v>55</v>
      </c>
      <c r="C3" s="57" t="s">
        <v>516</v>
      </c>
      <c r="D3" s="58" t="s">
        <v>56</v>
      </c>
    </row>
    <row r="4" spans="1:4" ht="42" x14ac:dyDescent="0.3">
      <c r="A4" s="56" t="s">
        <v>57</v>
      </c>
      <c r="B4" s="56" t="s">
        <v>58</v>
      </c>
      <c r="C4" s="57" t="s">
        <v>516</v>
      </c>
      <c r="D4" s="58" t="s">
        <v>59</v>
      </c>
    </row>
    <row r="5" spans="1:4" ht="42" x14ac:dyDescent="0.3">
      <c r="A5" s="56" t="s">
        <v>60</v>
      </c>
      <c r="B5" s="56" t="s">
        <v>61</v>
      </c>
      <c r="C5" s="57" t="s">
        <v>516</v>
      </c>
      <c r="D5" s="58" t="s">
        <v>62</v>
      </c>
    </row>
    <row r="6" spans="1:4" ht="42" x14ac:dyDescent="0.3">
      <c r="A6" s="56" t="s">
        <v>63</v>
      </c>
      <c r="B6" s="56" t="s">
        <v>64</v>
      </c>
      <c r="C6" s="57" t="s">
        <v>516</v>
      </c>
      <c r="D6" s="58" t="s">
        <v>65</v>
      </c>
    </row>
    <row r="7" spans="1:4" ht="83.4" x14ac:dyDescent="0.3">
      <c r="A7" s="56" t="s">
        <v>66</v>
      </c>
      <c r="B7" s="56" t="s">
        <v>518</v>
      </c>
      <c r="C7" s="57" t="s">
        <v>516</v>
      </c>
      <c r="D7" s="58" t="s">
        <v>519</v>
      </c>
    </row>
    <row r="8" spans="1:4" ht="42" x14ac:dyDescent="0.3">
      <c r="A8" s="56" t="s">
        <v>69</v>
      </c>
      <c r="B8" s="56" t="s">
        <v>70</v>
      </c>
      <c r="C8" s="57" t="s">
        <v>516</v>
      </c>
      <c r="D8" s="58" t="s">
        <v>71</v>
      </c>
    </row>
    <row r="9" spans="1:4" ht="42" x14ac:dyDescent="0.3">
      <c r="A9" s="56" t="s">
        <v>72</v>
      </c>
      <c r="B9" s="56" t="s">
        <v>520</v>
      </c>
      <c r="C9" s="57" t="s">
        <v>516</v>
      </c>
      <c r="D9" s="58" t="s">
        <v>521</v>
      </c>
    </row>
    <row r="10" spans="1:4" ht="55.8" x14ac:dyDescent="0.3">
      <c r="A10" s="56" t="s">
        <v>75</v>
      </c>
      <c r="B10" s="56" t="s">
        <v>76</v>
      </c>
      <c r="C10" s="57" t="s">
        <v>516</v>
      </c>
      <c r="D10" s="58" t="s">
        <v>77</v>
      </c>
    </row>
    <row r="11" spans="1:4" ht="42" x14ac:dyDescent="0.3">
      <c r="A11" s="56" t="s">
        <v>78</v>
      </c>
      <c r="B11" s="56" t="s">
        <v>79</v>
      </c>
      <c r="C11" s="57" t="s">
        <v>516</v>
      </c>
      <c r="D11" s="58" t="s">
        <v>80</v>
      </c>
    </row>
    <row r="12" spans="1:4" ht="97.2" x14ac:dyDescent="0.3">
      <c r="A12" s="56" t="s">
        <v>81</v>
      </c>
      <c r="B12" s="56" t="s">
        <v>82</v>
      </c>
      <c r="C12" s="57" t="s">
        <v>516</v>
      </c>
      <c r="D12" s="58" t="s">
        <v>83</v>
      </c>
    </row>
    <row r="13" spans="1:4" ht="55.8" x14ac:dyDescent="0.3">
      <c r="A13" s="56" t="s">
        <v>84</v>
      </c>
      <c r="B13" s="56" t="s">
        <v>522</v>
      </c>
      <c r="C13" s="57" t="s">
        <v>516</v>
      </c>
      <c r="D13" s="58" t="s">
        <v>523</v>
      </c>
    </row>
    <row r="14" spans="1:4" ht="69.599999999999994" x14ac:dyDescent="0.3">
      <c r="A14" s="56" t="s">
        <v>87</v>
      </c>
      <c r="B14" s="56" t="s">
        <v>524</v>
      </c>
      <c r="C14" s="59" t="s">
        <v>525</v>
      </c>
      <c r="D14" s="58" t="s">
        <v>526</v>
      </c>
    </row>
    <row r="15" spans="1:4" ht="42" x14ac:dyDescent="0.3">
      <c r="A15" s="56" t="s">
        <v>90</v>
      </c>
      <c r="B15" s="56" t="s">
        <v>527</v>
      </c>
      <c r="C15" s="57" t="s">
        <v>516</v>
      </c>
      <c r="D15" s="58" t="s">
        <v>528</v>
      </c>
    </row>
    <row r="16" spans="1:4" ht="42" x14ac:dyDescent="0.3">
      <c r="A16" s="56" t="s">
        <v>93</v>
      </c>
      <c r="B16" s="56" t="s">
        <v>529</v>
      </c>
      <c r="C16" s="57" t="s">
        <v>516</v>
      </c>
      <c r="D16" s="58" t="s">
        <v>95</v>
      </c>
    </row>
    <row r="17" spans="1:4" ht="55.2" x14ac:dyDescent="0.3">
      <c r="A17" s="56" t="s">
        <v>96</v>
      </c>
      <c r="B17" s="56" t="s">
        <v>97</v>
      </c>
      <c r="C17" s="57" t="s">
        <v>516</v>
      </c>
      <c r="D17" s="58" t="s">
        <v>98</v>
      </c>
    </row>
    <row r="18" spans="1:4" ht="69.599999999999994" x14ac:dyDescent="0.3">
      <c r="A18" s="56" t="s">
        <v>99</v>
      </c>
      <c r="B18" s="56" t="s">
        <v>100</v>
      </c>
      <c r="C18" s="57" t="s">
        <v>516</v>
      </c>
      <c r="D18" s="58" t="s">
        <v>101</v>
      </c>
    </row>
    <row r="19" spans="1:4" ht="55.8" x14ac:dyDescent="0.3">
      <c r="A19" s="56" t="s">
        <v>102</v>
      </c>
      <c r="B19" s="56" t="s">
        <v>530</v>
      </c>
      <c r="C19" s="57" t="s">
        <v>516</v>
      </c>
      <c r="D19" s="58" t="s">
        <v>104</v>
      </c>
    </row>
    <row r="20" spans="1:4" ht="55.8" x14ac:dyDescent="0.3">
      <c r="A20" s="56" t="s">
        <v>105</v>
      </c>
      <c r="B20" s="56" t="s">
        <v>531</v>
      </c>
      <c r="C20" s="60" t="s">
        <v>532</v>
      </c>
      <c r="D20" s="58" t="s">
        <v>107</v>
      </c>
    </row>
    <row r="21" spans="1:4" ht="42" x14ac:dyDescent="0.3">
      <c r="A21" s="56" t="s">
        <v>108</v>
      </c>
      <c r="B21" s="56" t="s">
        <v>533</v>
      </c>
      <c r="C21" s="59" t="s">
        <v>525</v>
      </c>
      <c r="D21" s="58" t="s">
        <v>534</v>
      </c>
    </row>
    <row r="22" spans="1:4" ht="42" x14ac:dyDescent="0.3">
      <c r="A22" s="56" t="s">
        <v>111</v>
      </c>
      <c r="B22" s="56" t="s">
        <v>535</v>
      </c>
      <c r="C22" s="57" t="s">
        <v>516</v>
      </c>
      <c r="D22" s="58" t="s">
        <v>536</v>
      </c>
    </row>
    <row r="23" spans="1:4" ht="55.8" x14ac:dyDescent="0.3">
      <c r="A23" s="56" t="s">
        <v>113</v>
      </c>
      <c r="B23" s="56" t="s">
        <v>537</v>
      </c>
      <c r="C23" s="57" t="s">
        <v>516</v>
      </c>
      <c r="D23" s="58" t="s">
        <v>538</v>
      </c>
    </row>
    <row r="24" spans="1:4" ht="42" x14ac:dyDescent="0.3">
      <c r="A24" s="56" t="s">
        <v>116</v>
      </c>
      <c r="B24" s="56" t="s">
        <v>117</v>
      </c>
      <c r="C24" s="57" t="s">
        <v>516</v>
      </c>
      <c r="D24" s="58" t="s">
        <v>118</v>
      </c>
    </row>
    <row r="25" spans="1:4" ht="69.599999999999994" x14ac:dyDescent="0.3">
      <c r="A25" s="56" t="s">
        <v>119</v>
      </c>
      <c r="B25" s="56" t="s">
        <v>120</v>
      </c>
      <c r="C25" s="57" t="s">
        <v>516</v>
      </c>
      <c r="D25" s="58" t="s">
        <v>539</v>
      </c>
    </row>
    <row r="26" spans="1:4" ht="111" x14ac:dyDescent="0.3">
      <c r="A26" s="56" t="s">
        <v>122</v>
      </c>
      <c r="B26" s="56" t="s">
        <v>123</v>
      </c>
      <c r="C26" s="57" t="s">
        <v>516</v>
      </c>
      <c r="D26" s="58" t="s">
        <v>124</v>
      </c>
    </row>
    <row r="27" spans="1:4" ht="42" x14ac:dyDescent="0.3">
      <c r="A27" s="56" t="s">
        <v>125</v>
      </c>
      <c r="B27" s="56" t="s">
        <v>540</v>
      </c>
      <c r="C27" s="60" t="s">
        <v>532</v>
      </c>
      <c r="D27" s="58" t="s">
        <v>541</v>
      </c>
    </row>
    <row r="28" spans="1:4" ht="138.6" x14ac:dyDescent="0.3">
      <c r="A28" s="56" t="s">
        <v>128</v>
      </c>
      <c r="B28" s="56" t="s">
        <v>542</v>
      </c>
      <c r="C28" s="57" t="s">
        <v>516</v>
      </c>
      <c r="D28" s="58" t="s">
        <v>543</v>
      </c>
    </row>
    <row r="29" spans="1:4" ht="42" x14ac:dyDescent="0.3">
      <c r="A29" s="56" t="s">
        <v>131</v>
      </c>
      <c r="B29" s="56" t="s">
        <v>544</v>
      </c>
      <c r="C29" s="57" t="s">
        <v>516</v>
      </c>
      <c r="D29" s="58" t="s">
        <v>545</v>
      </c>
    </row>
    <row r="30" spans="1:4" ht="42" x14ac:dyDescent="0.3">
      <c r="A30" s="56" t="s">
        <v>134</v>
      </c>
      <c r="B30" s="56" t="s">
        <v>135</v>
      </c>
      <c r="C30" s="57" t="s">
        <v>516</v>
      </c>
      <c r="D30" s="58" t="s">
        <v>136</v>
      </c>
    </row>
    <row r="31" spans="1:4" ht="83.4" x14ac:dyDescent="0.3">
      <c r="A31" s="56" t="s">
        <v>137</v>
      </c>
      <c r="B31" s="56" t="s">
        <v>546</v>
      </c>
      <c r="C31" s="57" t="s">
        <v>516</v>
      </c>
      <c r="D31" s="58" t="s">
        <v>547</v>
      </c>
    </row>
    <row r="32" spans="1:4" ht="28.2" x14ac:dyDescent="0.3">
      <c r="A32" s="56" t="s">
        <v>140</v>
      </c>
      <c r="B32" s="56" t="s">
        <v>548</v>
      </c>
      <c r="C32" s="57" t="s">
        <v>516</v>
      </c>
      <c r="D32" s="58" t="s">
        <v>549</v>
      </c>
    </row>
    <row r="33" spans="1:4" ht="55.8" x14ac:dyDescent="0.3">
      <c r="A33" s="56" t="s">
        <v>143</v>
      </c>
      <c r="B33" s="56" t="s">
        <v>144</v>
      </c>
      <c r="C33" s="57" t="s">
        <v>516</v>
      </c>
      <c r="D33" s="58" t="s">
        <v>145</v>
      </c>
    </row>
    <row r="34" spans="1:4" ht="42" x14ac:dyDescent="0.3">
      <c r="A34" s="56" t="s">
        <v>146</v>
      </c>
      <c r="B34" s="56" t="s">
        <v>550</v>
      </c>
      <c r="C34" s="57" t="s">
        <v>516</v>
      </c>
      <c r="D34" s="58" t="s">
        <v>551</v>
      </c>
    </row>
    <row r="35" spans="1:4" ht="55.2" x14ac:dyDescent="0.3">
      <c r="A35" s="56" t="s">
        <v>148</v>
      </c>
      <c r="B35" s="56" t="s">
        <v>149</v>
      </c>
      <c r="C35" s="57" t="s">
        <v>516</v>
      </c>
      <c r="D35" s="58" t="s">
        <v>150</v>
      </c>
    </row>
    <row r="36" spans="1:4" ht="82.8" x14ac:dyDescent="0.3">
      <c r="A36" s="56" t="s">
        <v>151</v>
      </c>
      <c r="B36" s="56" t="s">
        <v>152</v>
      </c>
      <c r="C36" s="57" t="s">
        <v>516</v>
      </c>
      <c r="D36" s="58" t="s">
        <v>153</v>
      </c>
    </row>
    <row r="37" spans="1:4" ht="28.2" x14ac:dyDescent="0.3">
      <c r="A37" s="56" t="s">
        <v>154</v>
      </c>
      <c r="B37" s="56" t="s">
        <v>155</v>
      </c>
      <c r="C37" s="57" t="s">
        <v>516</v>
      </c>
      <c r="D37" s="58" t="s">
        <v>156</v>
      </c>
    </row>
    <row r="38" spans="1:4" ht="69.599999999999994" x14ac:dyDescent="0.3">
      <c r="A38" s="56" t="s">
        <v>157</v>
      </c>
      <c r="B38" s="56" t="s">
        <v>158</v>
      </c>
      <c r="C38" s="57" t="s">
        <v>516</v>
      </c>
      <c r="D38" s="58" t="s">
        <v>159</v>
      </c>
    </row>
    <row r="39" spans="1:4" ht="42" x14ac:dyDescent="0.3">
      <c r="A39" s="56" t="s">
        <v>160</v>
      </c>
      <c r="B39" s="56" t="s">
        <v>552</v>
      </c>
      <c r="C39" s="60" t="s">
        <v>532</v>
      </c>
      <c r="D39" s="58" t="s">
        <v>553</v>
      </c>
    </row>
    <row r="40" spans="1:4" ht="42" x14ac:dyDescent="0.3">
      <c r="A40" s="56" t="s">
        <v>162</v>
      </c>
      <c r="B40" s="56" t="s">
        <v>163</v>
      </c>
      <c r="C40" s="57" t="s">
        <v>516</v>
      </c>
      <c r="D40" s="58" t="s">
        <v>164</v>
      </c>
    </row>
    <row r="41" spans="1:4" ht="55.2" x14ac:dyDescent="0.3">
      <c r="A41" s="56" t="s">
        <v>165</v>
      </c>
      <c r="B41" s="56" t="s">
        <v>166</v>
      </c>
      <c r="C41" s="57" t="s">
        <v>516</v>
      </c>
      <c r="D41" s="58" t="s">
        <v>167</v>
      </c>
    </row>
    <row r="42" spans="1:4" ht="83.4" x14ac:dyDescent="0.3">
      <c r="A42" s="56" t="s">
        <v>168</v>
      </c>
      <c r="B42" s="56" t="s">
        <v>554</v>
      </c>
      <c r="C42" s="57" t="s">
        <v>516</v>
      </c>
      <c r="D42" s="58" t="s">
        <v>170</v>
      </c>
    </row>
    <row r="43" spans="1:4" ht="83.4" x14ac:dyDescent="0.3">
      <c r="A43" s="56" t="s">
        <v>171</v>
      </c>
      <c r="B43" s="56" t="s">
        <v>172</v>
      </c>
      <c r="C43" s="57" t="s">
        <v>516</v>
      </c>
      <c r="D43" s="58" t="s">
        <v>173</v>
      </c>
    </row>
    <row r="44" spans="1:4" ht="83.4" x14ac:dyDescent="0.3">
      <c r="A44" s="56" t="s">
        <v>174</v>
      </c>
      <c r="B44" s="56" t="s">
        <v>175</v>
      </c>
      <c r="C44" s="57" t="s">
        <v>516</v>
      </c>
      <c r="D44" s="58" t="s">
        <v>170</v>
      </c>
    </row>
    <row r="45" spans="1:4" ht="42" x14ac:dyDescent="0.3">
      <c r="A45" s="56" t="s">
        <v>176</v>
      </c>
      <c r="B45" s="56" t="s">
        <v>177</v>
      </c>
      <c r="C45" s="57" t="s">
        <v>516</v>
      </c>
      <c r="D45" s="58" t="s">
        <v>178</v>
      </c>
    </row>
    <row r="46" spans="1:4" ht="42" x14ac:dyDescent="0.3">
      <c r="A46" s="56" t="s">
        <v>179</v>
      </c>
      <c r="B46" s="56" t="s">
        <v>180</v>
      </c>
      <c r="C46" s="57" t="s">
        <v>516</v>
      </c>
      <c r="D46" s="58" t="s">
        <v>181</v>
      </c>
    </row>
    <row r="47" spans="1:4" ht="55.8" x14ac:dyDescent="0.3">
      <c r="A47" s="56" t="s">
        <v>182</v>
      </c>
      <c r="B47" s="56" t="s">
        <v>555</v>
      </c>
      <c r="C47" s="57" t="s">
        <v>516</v>
      </c>
      <c r="D47" s="58" t="s">
        <v>556</v>
      </c>
    </row>
    <row r="48" spans="1:4" ht="41.4" x14ac:dyDescent="0.3">
      <c r="A48" s="56" t="s">
        <v>184</v>
      </c>
      <c r="B48" s="56" t="s">
        <v>185</v>
      </c>
      <c r="C48" s="57" t="s">
        <v>516</v>
      </c>
      <c r="D48" s="58" t="s">
        <v>186</v>
      </c>
    </row>
    <row r="49" spans="1:4" ht="82.8" x14ac:dyDescent="0.3">
      <c r="A49" s="56" t="s">
        <v>187</v>
      </c>
      <c r="B49" s="56" t="s">
        <v>188</v>
      </c>
      <c r="C49" s="57" t="s">
        <v>516</v>
      </c>
      <c r="D49" s="58" t="s">
        <v>189</v>
      </c>
    </row>
    <row r="50" spans="1:4" ht="97.2" x14ac:dyDescent="0.3">
      <c r="A50" s="56" t="s">
        <v>190</v>
      </c>
      <c r="B50" s="56" t="s">
        <v>191</v>
      </c>
      <c r="C50" s="57" t="s">
        <v>516</v>
      </c>
      <c r="D50" s="58" t="s">
        <v>192</v>
      </c>
    </row>
    <row r="51" spans="1:4" ht="69.599999999999994" x14ac:dyDescent="0.3">
      <c r="A51" s="56" t="s">
        <v>193</v>
      </c>
      <c r="B51" s="56" t="s">
        <v>557</v>
      </c>
      <c r="C51" s="57" t="s">
        <v>516</v>
      </c>
      <c r="D51" s="58" t="s">
        <v>558</v>
      </c>
    </row>
    <row r="52" spans="1:4" ht="69.599999999999994" x14ac:dyDescent="0.3">
      <c r="A52" s="56" t="s">
        <v>196</v>
      </c>
      <c r="B52" s="56" t="s">
        <v>197</v>
      </c>
      <c r="C52" s="57" t="s">
        <v>516</v>
      </c>
      <c r="D52" s="58" t="s">
        <v>198</v>
      </c>
    </row>
    <row r="53" spans="1:4" ht="42" x14ac:dyDescent="0.3">
      <c r="A53" s="56" t="s">
        <v>199</v>
      </c>
      <c r="B53" s="56" t="s">
        <v>200</v>
      </c>
      <c r="C53" s="57" t="s">
        <v>516</v>
      </c>
      <c r="D53" s="58" t="s">
        <v>201</v>
      </c>
    </row>
    <row r="54" spans="1:4" ht="42" x14ac:dyDescent="0.3">
      <c r="A54" s="56" t="s">
        <v>202</v>
      </c>
      <c r="B54" s="56" t="s">
        <v>203</v>
      </c>
      <c r="C54" s="57" t="s">
        <v>516</v>
      </c>
      <c r="D54" s="58" t="s">
        <v>204</v>
      </c>
    </row>
    <row r="55" spans="1:4" ht="55.8" x14ac:dyDescent="0.3">
      <c r="A55" s="56" t="s">
        <v>205</v>
      </c>
      <c r="B55" s="56" t="s">
        <v>206</v>
      </c>
      <c r="C55" s="57" t="s">
        <v>516</v>
      </c>
      <c r="D55" s="58" t="s">
        <v>207</v>
      </c>
    </row>
    <row r="56" spans="1:4" ht="69.599999999999994" x14ac:dyDescent="0.3">
      <c r="A56" s="56" t="s">
        <v>208</v>
      </c>
      <c r="B56" s="56" t="s">
        <v>209</v>
      </c>
      <c r="C56" s="57" t="s">
        <v>516</v>
      </c>
      <c r="D56" s="58" t="s">
        <v>210</v>
      </c>
    </row>
    <row r="57" spans="1:4" ht="97.2" x14ac:dyDescent="0.3">
      <c r="A57" s="56" t="s">
        <v>211</v>
      </c>
      <c r="B57" s="56" t="s">
        <v>559</v>
      </c>
      <c r="C57" s="59" t="s">
        <v>525</v>
      </c>
      <c r="D57" s="58" t="s">
        <v>560</v>
      </c>
    </row>
    <row r="58" spans="1:4" ht="69.599999999999994" x14ac:dyDescent="0.3">
      <c r="A58" s="56" t="s">
        <v>214</v>
      </c>
      <c r="B58" s="56" t="s">
        <v>215</v>
      </c>
      <c r="C58" s="57" t="s">
        <v>516</v>
      </c>
      <c r="D58" s="58" t="s">
        <v>216</v>
      </c>
    </row>
    <row r="59" spans="1:4" ht="55.8" x14ac:dyDescent="0.3">
      <c r="A59" s="56" t="s">
        <v>217</v>
      </c>
      <c r="B59" s="56" t="s">
        <v>561</v>
      </c>
      <c r="C59" s="57" t="s">
        <v>516</v>
      </c>
      <c r="D59" s="58" t="s">
        <v>562</v>
      </c>
    </row>
    <row r="60" spans="1:4" ht="55.2" x14ac:dyDescent="0.3">
      <c r="A60" s="56" t="s">
        <v>220</v>
      </c>
      <c r="B60" s="56" t="s">
        <v>563</v>
      </c>
      <c r="C60" s="60" t="s">
        <v>532</v>
      </c>
      <c r="D60" s="58" t="s">
        <v>564</v>
      </c>
    </row>
    <row r="61" spans="1:4" ht="55.2" x14ac:dyDescent="0.3">
      <c r="A61" s="56" t="s">
        <v>223</v>
      </c>
      <c r="B61" s="56" t="s">
        <v>224</v>
      </c>
      <c r="C61" s="57" t="s">
        <v>516</v>
      </c>
      <c r="D61" s="58" t="s">
        <v>565</v>
      </c>
    </row>
    <row r="62" spans="1:4" ht="82.8" x14ac:dyDescent="0.3">
      <c r="A62" s="56" t="s">
        <v>226</v>
      </c>
      <c r="B62" s="56" t="s">
        <v>227</v>
      </c>
      <c r="C62" s="57" t="s">
        <v>516</v>
      </c>
      <c r="D62" s="58" t="s">
        <v>228</v>
      </c>
    </row>
    <row r="63" spans="1:4" ht="111" x14ac:dyDescent="0.3">
      <c r="A63" s="56" t="s">
        <v>229</v>
      </c>
      <c r="B63" s="56" t="s">
        <v>566</v>
      </c>
      <c r="C63" s="57" t="s">
        <v>516</v>
      </c>
      <c r="D63" s="58" t="s">
        <v>567</v>
      </c>
    </row>
    <row r="64" spans="1:4" ht="55.8" x14ac:dyDescent="0.3">
      <c r="A64" s="56" t="s">
        <v>232</v>
      </c>
      <c r="B64" s="56" t="s">
        <v>233</v>
      </c>
      <c r="C64" s="57" t="s">
        <v>516</v>
      </c>
      <c r="D64" s="58" t="s">
        <v>234</v>
      </c>
    </row>
    <row r="65" spans="1:4" ht="55.2" x14ac:dyDescent="0.3">
      <c r="A65" s="56" t="s">
        <v>235</v>
      </c>
      <c r="B65" s="56" t="s">
        <v>568</v>
      </c>
      <c r="C65" s="59" t="s">
        <v>525</v>
      </c>
      <c r="D65" s="58" t="s">
        <v>569</v>
      </c>
    </row>
    <row r="66" spans="1:4" ht="42" x14ac:dyDescent="0.3">
      <c r="A66" s="56" t="s">
        <v>237</v>
      </c>
      <c r="B66" s="56" t="s">
        <v>238</v>
      </c>
      <c r="C66" s="57" t="s">
        <v>516</v>
      </c>
      <c r="D66" s="58" t="s">
        <v>239</v>
      </c>
    </row>
    <row r="67" spans="1:4" ht="124.8" x14ac:dyDescent="0.3">
      <c r="A67" s="56" t="s">
        <v>240</v>
      </c>
      <c r="B67" s="56" t="s">
        <v>570</v>
      </c>
      <c r="C67" s="57" t="s">
        <v>516</v>
      </c>
      <c r="D67" s="58" t="s">
        <v>571</v>
      </c>
    </row>
    <row r="68" spans="1:4" ht="111" x14ac:dyDescent="0.3">
      <c r="A68" s="56" t="s">
        <v>242</v>
      </c>
      <c r="B68" s="56" t="s">
        <v>243</v>
      </c>
      <c r="C68" s="57" t="s">
        <v>516</v>
      </c>
      <c r="D68" s="58" t="s">
        <v>572</v>
      </c>
    </row>
    <row r="69" spans="1:4" ht="69.599999999999994" x14ac:dyDescent="0.3">
      <c r="A69" s="56" t="s">
        <v>245</v>
      </c>
      <c r="B69" s="56" t="s">
        <v>246</v>
      </c>
      <c r="C69" s="57" t="s">
        <v>516</v>
      </c>
      <c r="D69" s="58" t="s">
        <v>247</v>
      </c>
    </row>
    <row r="70" spans="1:4" ht="41.4" x14ac:dyDescent="0.3">
      <c r="A70" s="56" t="s">
        <v>248</v>
      </c>
      <c r="B70" s="56" t="s">
        <v>573</v>
      </c>
      <c r="C70" s="57" t="s">
        <v>516</v>
      </c>
      <c r="D70" s="58" t="s">
        <v>574</v>
      </c>
    </row>
    <row r="71" spans="1:4" ht="42" x14ac:dyDescent="0.3">
      <c r="A71" s="56" t="s">
        <v>250</v>
      </c>
      <c r="B71" s="56" t="s">
        <v>251</v>
      </c>
      <c r="C71" s="57" t="s">
        <v>516</v>
      </c>
      <c r="D71" s="58" t="s">
        <v>252</v>
      </c>
    </row>
    <row r="72" spans="1:4" ht="69.599999999999994" x14ac:dyDescent="0.3">
      <c r="A72" s="56" t="s">
        <v>253</v>
      </c>
      <c r="B72" s="56" t="s">
        <v>254</v>
      </c>
      <c r="C72" s="57" t="s">
        <v>516</v>
      </c>
      <c r="D72" s="58" t="s">
        <v>255</v>
      </c>
    </row>
    <row r="73" spans="1:4" ht="55.8" x14ac:dyDescent="0.3">
      <c r="A73" s="56" t="s">
        <v>256</v>
      </c>
      <c r="B73" s="56" t="s">
        <v>257</v>
      </c>
      <c r="C73" s="57" t="s">
        <v>516</v>
      </c>
      <c r="D73" s="58" t="s">
        <v>258</v>
      </c>
    </row>
    <row r="74" spans="1:4" ht="55.8" x14ac:dyDescent="0.3">
      <c r="A74" s="56" t="s">
        <v>259</v>
      </c>
      <c r="B74" s="56" t="s">
        <v>575</v>
      </c>
      <c r="C74" s="60" t="s">
        <v>532</v>
      </c>
      <c r="D74" s="58" t="s">
        <v>261</v>
      </c>
    </row>
    <row r="75" spans="1:4" ht="42" x14ac:dyDescent="0.3">
      <c r="A75" s="56" t="s">
        <v>262</v>
      </c>
      <c r="B75" s="56" t="s">
        <v>263</v>
      </c>
      <c r="C75" s="57" t="s">
        <v>516</v>
      </c>
      <c r="D75" s="58" t="s">
        <v>264</v>
      </c>
    </row>
    <row r="76" spans="1:4" ht="42" x14ac:dyDescent="0.3">
      <c r="A76" s="56" t="s">
        <v>265</v>
      </c>
      <c r="B76" s="56" t="s">
        <v>266</v>
      </c>
      <c r="C76" s="57" t="s">
        <v>516</v>
      </c>
      <c r="D76" s="58" t="s">
        <v>267</v>
      </c>
    </row>
    <row r="77" spans="1:4" ht="69.599999999999994" x14ac:dyDescent="0.3">
      <c r="A77" s="56" t="s">
        <v>268</v>
      </c>
      <c r="B77" s="56" t="s">
        <v>576</v>
      </c>
      <c r="C77" s="60" t="s">
        <v>532</v>
      </c>
      <c r="D77" s="58" t="s">
        <v>577</v>
      </c>
    </row>
    <row r="78" spans="1:4" ht="55.8" x14ac:dyDescent="0.3">
      <c r="A78" s="56" t="s">
        <v>271</v>
      </c>
      <c r="B78" s="56" t="s">
        <v>272</v>
      </c>
      <c r="C78" s="57" t="s">
        <v>516</v>
      </c>
      <c r="D78" s="58" t="s">
        <v>273</v>
      </c>
    </row>
    <row r="79" spans="1:4" ht="69.599999999999994" x14ac:dyDescent="0.3">
      <c r="A79" s="56" t="s">
        <v>274</v>
      </c>
      <c r="B79" s="56" t="s">
        <v>275</v>
      </c>
      <c r="C79" s="57" t="s">
        <v>516</v>
      </c>
      <c r="D79" s="58" t="s">
        <v>578</v>
      </c>
    </row>
    <row r="80" spans="1:4" ht="28.2" x14ac:dyDescent="0.3">
      <c r="A80" s="56" t="s">
        <v>278</v>
      </c>
      <c r="B80" s="56" t="s">
        <v>279</v>
      </c>
      <c r="C80" s="57" t="s">
        <v>516</v>
      </c>
      <c r="D80" s="58" t="s">
        <v>280</v>
      </c>
    </row>
    <row r="81" spans="1:4" ht="55.2" x14ac:dyDescent="0.3">
      <c r="A81" s="56" t="s">
        <v>281</v>
      </c>
      <c r="B81" s="56" t="s">
        <v>282</v>
      </c>
      <c r="C81" s="57" t="s">
        <v>516</v>
      </c>
      <c r="D81" s="58" t="s">
        <v>283</v>
      </c>
    </row>
    <row r="82" spans="1:4" ht="124.8" x14ac:dyDescent="0.3">
      <c r="A82" s="56" t="s">
        <v>284</v>
      </c>
      <c r="B82" s="56" t="s">
        <v>285</v>
      </c>
      <c r="C82" s="57" t="s">
        <v>516</v>
      </c>
      <c r="D82" s="58" t="s">
        <v>286</v>
      </c>
    </row>
    <row r="83" spans="1:4" ht="42" x14ac:dyDescent="0.3">
      <c r="A83" s="56" t="s">
        <v>287</v>
      </c>
      <c r="B83" s="56" t="s">
        <v>579</v>
      </c>
      <c r="C83" s="57" t="s">
        <v>516</v>
      </c>
      <c r="D83" s="58" t="s">
        <v>580</v>
      </c>
    </row>
    <row r="84" spans="1:4" ht="55.8" x14ac:dyDescent="0.3">
      <c r="A84" s="56" t="s">
        <v>290</v>
      </c>
      <c r="B84" s="56" t="s">
        <v>581</v>
      </c>
      <c r="C84" s="57" t="s">
        <v>516</v>
      </c>
      <c r="D84" s="58" t="s">
        <v>582</v>
      </c>
    </row>
    <row r="85" spans="1:4" ht="55.2" x14ac:dyDescent="0.3">
      <c r="A85" s="56" t="s">
        <v>293</v>
      </c>
      <c r="B85" s="56" t="s">
        <v>583</v>
      </c>
      <c r="C85" s="59" t="s">
        <v>525</v>
      </c>
      <c r="D85" s="58" t="s">
        <v>295</v>
      </c>
    </row>
    <row r="86" spans="1:4" ht="83.4" x14ac:dyDescent="0.3">
      <c r="A86" s="56" t="s">
        <v>296</v>
      </c>
      <c r="B86" s="56" t="s">
        <v>297</v>
      </c>
      <c r="C86" s="57" t="s">
        <v>516</v>
      </c>
      <c r="D86" s="58" t="s">
        <v>298</v>
      </c>
    </row>
    <row r="87" spans="1:4" ht="42" x14ac:dyDescent="0.3">
      <c r="A87" s="56" t="s">
        <v>299</v>
      </c>
      <c r="B87" s="56" t="s">
        <v>300</v>
      </c>
      <c r="C87" s="57" t="s">
        <v>516</v>
      </c>
      <c r="D87" s="58" t="s">
        <v>301</v>
      </c>
    </row>
    <row r="88" spans="1:4" ht="41.4" x14ac:dyDescent="0.3">
      <c r="A88" s="56" t="s">
        <v>302</v>
      </c>
      <c r="B88" s="56" t="s">
        <v>303</v>
      </c>
      <c r="C88" s="57" t="s">
        <v>516</v>
      </c>
      <c r="D88" s="58" t="s">
        <v>304</v>
      </c>
    </row>
    <row r="89" spans="1:4" ht="55.8" x14ac:dyDescent="0.3">
      <c r="A89" s="56" t="s">
        <v>305</v>
      </c>
      <c r="B89" s="56" t="s">
        <v>306</v>
      </c>
      <c r="C89" s="57" t="s">
        <v>516</v>
      </c>
      <c r="D89" s="58" t="s">
        <v>307</v>
      </c>
    </row>
    <row r="90" spans="1:4" ht="55.8" x14ac:dyDescent="0.3">
      <c r="A90" s="56" t="s">
        <v>308</v>
      </c>
      <c r="B90" s="56" t="s">
        <v>584</v>
      </c>
      <c r="C90" s="57" t="s">
        <v>516</v>
      </c>
      <c r="D90" s="58" t="s">
        <v>585</v>
      </c>
    </row>
    <row r="91" spans="1:4" ht="83.4" x14ac:dyDescent="0.3">
      <c r="A91" s="56" t="s">
        <v>311</v>
      </c>
      <c r="B91" s="56" t="s">
        <v>586</v>
      </c>
      <c r="C91" s="57" t="s">
        <v>516</v>
      </c>
      <c r="D91" s="58" t="s">
        <v>587</v>
      </c>
    </row>
    <row r="92" spans="1:4" ht="55.8" x14ac:dyDescent="0.3">
      <c r="A92" s="56" t="s">
        <v>314</v>
      </c>
      <c r="B92" s="56" t="s">
        <v>315</v>
      </c>
      <c r="C92" s="57" t="s">
        <v>516</v>
      </c>
      <c r="D92" s="58" t="s">
        <v>316</v>
      </c>
    </row>
    <row r="93" spans="1:4" ht="83.4" x14ac:dyDescent="0.3">
      <c r="A93" s="56" t="s">
        <v>317</v>
      </c>
      <c r="B93" s="56" t="s">
        <v>588</v>
      </c>
      <c r="C93" s="57" t="s">
        <v>516</v>
      </c>
      <c r="D93" s="58" t="s">
        <v>319</v>
      </c>
    </row>
    <row r="94" spans="1:4" ht="69.599999999999994" x14ac:dyDescent="0.3">
      <c r="A94" s="56" t="s">
        <v>320</v>
      </c>
      <c r="B94" s="56" t="s">
        <v>321</v>
      </c>
      <c r="C94" s="57" t="s">
        <v>516</v>
      </c>
      <c r="D94" s="58" t="s">
        <v>322</v>
      </c>
    </row>
    <row r="95" spans="1:4" ht="69.599999999999994" x14ac:dyDescent="0.3">
      <c r="A95" s="56" t="s">
        <v>323</v>
      </c>
      <c r="B95" s="56" t="s">
        <v>589</v>
      </c>
      <c r="C95" s="59" t="s">
        <v>525</v>
      </c>
      <c r="D95" s="58" t="s">
        <v>325</v>
      </c>
    </row>
    <row r="96" spans="1:4" ht="69.599999999999994" x14ac:dyDescent="0.3">
      <c r="A96" s="56" t="s">
        <v>326</v>
      </c>
      <c r="B96" s="56" t="s">
        <v>327</v>
      </c>
      <c r="C96" s="57" t="s">
        <v>516</v>
      </c>
      <c r="D96" s="58" t="s">
        <v>328</v>
      </c>
    </row>
    <row r="97" spans="1:4" ht="82.8" x14ac:dyDescent="0.3">
      <c r="A97" s="56" t="s">
        <v>329</v>
      </c>
      <c r="B97" s="56" t="s">
        <v>330</v>
      </c>
      <c r="C97" s="57" t="s">
        <v>516</v>
      </c>
      <c r="D97" s="58" t="s">
        <v>331</v>
      </c>
    </row>
    <row r="98" spans="1:4" ht="42" x14ac:dyDescent="0.3">
      <c r="A98" s="56" t="s">
        <v>332</v>
      </c>
      <c r="B98" s="56" t="s">
        <v>590</v>
      </c>
      <c r="C98" s="57" t="s">
        <v>516</v>
      </c>
      <c r="D98" s="58" t="s">
        <v>591</v>
      </c>
    </row>
    <row r="99" spans="1:4" ht="69.599999999999994" x14ac:dyDescent="0.3">
      <c r="A99" s="56" t="s">
        <v>335</v>
      </c>
      <c r="B99" s="56" t="s">
        <v>336</v>
      </c>
      <c r="C99" s="57" t="s">
        <v>516</v>
      </c>
      <c r="D99" s="58" t="s">
        <v>337</v>
      </c>
    </row>
    <row r="100" spans="1:4" ht="69.599999999999994" x14ac:dyDescent="0.3">
      <c r="A100" s="56" t="s">
        <v>338</v>
      </c>
      <c r="B100" s="56" t="s">
        <v>339</v>
      </c>
      <c r="C100" s="57" t="s">
        <v>516</v>
      </c>
      <c r="D100" s="58" t="s">
        <v>340</v>
      </c>
    </row>
    <row r="101" spans="1:4" ht="55.8" x14ac:dyDescent="0.3">
      <c r="A101" s="56" t="s">
        <v>341</v>
      </c>
      <c r="B101" s="56" t="s">
        <v>342</v>
      </c>
      <c r="C101" s="57" t="s">
        <v>516</v>
      </c>
      <c r="D101" s="58" t="s">
        <v>343</v>
      </c>
    </row>
    <row r="102" spans="1:4" ht="55.2" x14ac:dyDescent="0.3">
      <c r="A102" s="56" t="s">
        <v>344</v>
      </c>
      <c r="B102" s="56" t="s">
        <v>592</v>
      </c>
      <c r="C102" s="57" t="s">
        <v>516</v>
      </c>
      <c r="D102" s="58" t="s">
        <v>346</v>
      </c>
    </row>
    <row r="103" spans="1:4" ht="55.2" x14ac:dyDescent="0.3">
      <c r="A103" s="56" t="s">
        <v>347</v>
      </c>
      <c r="B103" s="56" t="s">
        <v>348</v>
      </c>
      <c r="C103" s="57" t="s">
        <v>516</v>
      </c>
      <c r="D103" s="56" t="s">
        <v>349</v>
      </c>
    </row>
    <row r="104" spans="1:4" ht="42" x14ac:dyDescent="0.3">
      <c r="A104" s="56" t="s">
        <v>350</v>
      </c>
      <c r="B104" s="56" t="s">
        <v>351</v>
      </c>
      <c r="C104" s="57" t="s">
        <v>516</v>
      </c>
      <c r="D104" s="58" t="s">
        <v>352</v>
      </c>
    </row>
    <row r="105" spans="1:4" ht="55.8" x14ac:dyDescent="0.3">
      <c r="A105" s="56" t="s">
        <v>353</v>
      </c>
      <c r="B105" s="56" t="s">
        <v>593</v>
      </c>
      <c r="C105" s="59" t="s">
        <v>525</v>
      </c>
      <c r="D105" s="58" t="s">
        <v>355</v>
      </c>
    </row>
    <row r="106" spans="1:4" ht="42" x14ac:dyDescent="0.3">
      <c r="A106" s="56" t="s">
        <v>356</v>
      </c>
      <c r="B106" s="56" t="s">
        <v>594</v>
      </c>
      <c r="C106" s="57" t="s">
        <v>516</v>
      </c>
      <c r="D106" s="58" t="s">
        <v>595</v>
      </c>
    </row>
    <row r="107" spans="1:4" ht="55.8" x14ac:dyDescent="0.3">
      <c r="A107" s="56" t="s">
        <v>359</v>
      </c>
      <c r="B107" s="56" t="s">
        <v>596</v>
      </c>
      <c r="C107" s="57" t="s">
        <v>516</v>
      </c>
      <c r="D107" s="58" t="s">
        <v>597</v>
      </c>
    </row>
    <row r="108" spans="1:4" ht="42" x14ac:dyDescent="0.3">
      <c r="A108" s="56" t="s">
        <v>362</v>
      </c>
      <c r="B108" s="56" t="s">
        <v>598</v>
      </c>
      <c r="C108" s="57" t="s">
        <v>516</v>
      </c>
      <c r="D108" s="58" t="s">
        <v>599</v>
      </c>
    </row>
    <row r="109" spans="1:4" ht="42" x14ac:dyDescent="0.3">
      <c r="A109" s="56" t="s">
        <v>365</v>
      </c>
      <c r="B109" s="56" t="s">
        <v>366</v>
      </c>
      <c r="C109" s="57" t="s">
        <v>516</v>
      </c>
      <c r="D109" s="58" t="s">
        <v>367</v>
      </c>
    </row>
    <row r="110" spans="1:4" ht="28.2" x14ac:dyDescent="0.3">
      <c r="A110" s="56" t="s">
        <v>368</v>
      </c>
      <c r="B110" s="56" t="s">
        <v>600</v>
      </c>
      <c r="C110" s="57" t="s">
        <v>516</v>
      </c>
      <c r="D110" s="58" t="s">
        <v>601</v>
      </c>
    </row>
    <row r="111" spans="1:4" ht="42" x14ac:dyDescent="0.3">
      <c r="A111" s="56" t="s">
        <v>370</v>
      </c>
      <c r="B111" s="56" t="s">
        <v>602</v>
      </c>
      <c r="C111" s="57" t="s">
        <v>516</v>
      </c>
      <c r="D111" s="58" t="s">
        <v>603</v>
      </c>
    </row>
    <row r="112" spans="1:4" ht="69.599999999999994" x14ac:dyDescent="0.3">
      <c r="A112" s="56" t="s">
        <v>373</v>
      </c>
      <c r="B112" s="56" t="s">
        <v>374</v>
      </c>
      <c r="C112" s="57" t="s">
        <v>516</v>
      </c>
      <c r="D112" s="58" t="s">
        <v>604</v>
      </c>
    </row>
    <row r="113" spans="1:4" ht="42" x14ac:dyDescent="0.3">
      <c r="A113" s="56" t="s">
        <v>376</v>
      </c>
      <c r="B113" s="56" t="s">
        <v>377</v>
      </c>
      <c r="C113" s="57" t="s">
        <v>516</v>
      </c>
      <c r="D113" s="58" t="s">
        <v>605</v>
      </c>
    </row>
    <row r="114" spans="1:4" ht="83.4" x14ac:dyDescent="0.3">
      <c r="A114" s="56" t="s">
        <v>379</v>
      </c>
      <c r="B114" s="56" t="s">
        <v>606</v>
      </c>
      <c r="C114" s="57" t="s">
        <v>516</v>
      </c>
      <c r="D114" s="58" t="s">
        <v>607</v>
      </c>
    </row>
    <row r="115" spans="1:4" ht="42" x14ac:dyDescent="0.3">
      <c r="A115" s="56" t="s">
        <v>383</v>
      </c>
      <c r="B115" s="56" t="s">
        <v>608</v>
      </c>
      <c r="C115" s="57" t="s">
        <v>516</v>
      </c>
      <c r="D115" s="58" t="s">
        <v>609</v>
      </c>
    </row>
    <row r="116" spans="1:4" ht="42" x14ac:dyDescent="0.3">
      <c r="A116" s="56" t="s">
        <v>386</v>
      </c>
      <c r="B116" s="56" t="s">
        <v>610</v>
      </c>
      <c r="C116" s="57" t="s">
        <v>516</v>
      </c>
      <c r="D116" s="58" t="s">
        <v>611</v>
      </c>
    </row>
    <row r="117" spans="1:4" ht="69.599999999999994" x14ac:dyDescent="0.3">
      <c r="A117" s="56" t="s">
        <v>389</v>
      </c>
      <c r="B117" s="56" t="s">
        <v>390</v>
      </c>
      <c r="C117" s="57" t="s">
        <v>516</v>
      </c>
      <c r="D117" s="58" t="s">
        <v>391</v>
      </c>
    </row>
    <row r="118" spans="1:4" ht="55.8" x14ac:dyDescent="0.3">
      <c r="A118" s="56" t="s">
        <v>392</v>
      </c>
      <c r="B118" s="56" t="s">
        <v>393</v>
      </c>
      <c r="C118" s="57" t="s">
        <v>516</v>
      </c>
      <c r="D118" s="58" t="s">
        <v>394</v>
      </c>
    </row>
    <row r="119" spans="1:4" ht="42" x14ac:dyDescent="0.3">
      <c r="A119" s="56" t="s">
        <v>395</v>
      </c>
      <c r="B119" s="56" t="s">
        <v>396</v>
      </c>
      <c r="C119" s="57" t="s">
        <v>516</v>
      </c>
      <c r="D119" s="58" t="s">
        <v>397</v>
      </c>
    </row>
    <row r="120" spans="1:4" ht="42" x14ac:dyDescent="0.3">
      <c r="A120" s="56" t="s">
        <v>398</v>
      </c>
      <c r="B120" s="56" t="s">
        <v>612</v>
      </c>
      <c r="C120" s="57" t="s">
        <v>516</v>
      </c>
      <c r="D120" s="58" t="s">
        <v>613</v>
      </c>
    </row>
    <row r="121" spans="1:4" ht="69" x14ac:dyDescent="0.3">
      <c r="A121" s="56" t="s">
        <v>400</v>
      </c>
      <c r="B121" s="56" t="s">
        <v>401</v>
      </c>
      <c r="C121" s="57" t="s">
        <v>516</v>
      </c>
      <c r="D121" s="58" t="s">
        <v>402</v>
      </c>
    </row>
    <row r="122" spans="1:4" ht="42" x14ac:dyDescent="0.3">
      <c r="A122" s="56" t="s">
        <v>403</v>
      </c>
      <c r="B122" s="56" t="s">
        <v>614</v>
      </c>
      <c r="C122" s="57" t="s">
        <v>516</v>
      </c>
      <c r="D122" s="58" t="s">
        <v>615</v>
      </c>
    </row>
    <row r="123" spans="1:4" ht="55.2" x14ac:dyDescent="0.3">
      <c r="A123" s="56" t="s">
        <v>405</v>
      </c>
      <c r="B123" s="56" t="s">
        <v>406</v>
      </c>
      <c r="C123" s="57" t="s">
        <v>516</v>
      </c>
      <c r="D123" s="58" t="s">
        <v>407</v>
      </c>
    </row>
    <row r="124" spans="1:4" ht="41.4" x14ac:dyDescent="0.3">
      <c r="A124" s="56" t="s">
        <v>408</v>
      </c>
      <c r="B124" s="56" t="s">
        <v>409</v>
      </c>
      <c r="C124" s="57" t="s">
        <v>516</v>
      </c>
      <c r="D124" s="56" t="s">
        <v>410</v>
      </c>
    </row>
    <row r="125" spans="1:4" ht="83.4" x14ac:dyDescent="0.3">
      <c r="A125" s="56" t="s">
        <v>411</v>
      </c>
      <c r="B125" s="56" t="s">
        <v>616</v>
      </c>
      <c r="C125" s="57" t="s">
        <v>516</v>
      </c>
      <c r="D125" s="58" t="s">
        <v>617</v>
      </c>
    </row>
    <row r="126" spans="1:4" ht="28.2" x14ac:dyDescent="0.3">
      <c r="A126" s="56" t="s">
        <v>414</v>
      </c>
      <c r="B126" s="56" t="s">
        <v>415</v>
      </c>
      <c r="C126" s="57" t="s">
        <v>516</v>
      </c>
      <c r="D126" s="58" t="s">
        <v>416</v>
      </c>
    </row>
    <row r="127" spans="1:4" ht="69" x14ac:dyDescent="0.3">
      <c r="A127" s="56" t="s">
        <v>417</v>
      </c>
      <c r="B127" s="56" t="s">
        <v>418</v>
      </c>
      <c r="C127" s="57" t="s">
        <v>516</v>
      </c>
      <c r="D127" s="58" t="s">
        <v>419</v>
      </c>
    </row>
    <row r="128" spans="1:4" ht="55.2" x14ac:dyDescent="0.3">
      <c r="A128" s="56" t="s">
        <v>420</v>
      </c>
      <c r="B128" s="56" t="s">
        <v>618</v>
      </c>
      <c r="C128" s="57" t="s">
        <v>516</v>
      </c>
      <c r="D128" s="58" t="s">
        <v>619</v>
      </c>
    </row>
    <row r="129" spans="1:4" ht="69.599999999999994" x14ac:dyDescent="0.3">
      <c r="A129" s="56" t="s">
        <v>422</v>
      </c>
      <c r="B129" s="56" t="s">
        <v>423</v>
      </c>
      <c r="C129" s="57" t="s">
        <v>516</v>
      </c>
      <c r="D129" s="58" t="s">
        <v>424</v>
      </c>
    </row>
    <row r="130" spans="1:4" ht="55.2" x14ac:dyDescent="0.3">
      <c r="A130" s="56" t="s">
        <v>425</v>
      </c>
      <c r="B130" s="56" t="s">
        <v>426</v>
      </c>
      <c r="C130" s="57" t="s">
        <v>516</v>
      </c>
      <c r="D130" s="58" t="s">
        <v>427</v>
      </c>
    </row>
    <row r="131" spans="1:4" ht="55.8" x14ac:dyDescent="0.3">
      <c r="A131" s="56" t="s">
        <v>428</v>
      </c>
      <c r="B131" s="56" t="s">
        <v>620</v>
      </c>
      <c r="C131" s="57" t="s">
        <v>516</v>
      </c>
      <c r="D131" s="58" t="s">
        <v>621</v>
      </c>
    </row>
    <row r="132" spans="1:4" ht="55.2" x14ac:dyDescent="0.3">
      <c r="A132" s="56" t="s">
        <v>431</v>
      </c>
      <c r="B132" s="56" t="s">
        <v>622</v>
      </c>
      <c r="C132" s="59" t="s">
        <v>525</v>
      </c>
      <c r="D132" s="58" t="s">
        <v>623</v>
      </c>
    </row>
    <row r="133" spans="1:4" ht="111" x14ac:dyDescent="0.3">
      <c r="A133" s="56" t="s">
        <v>433</v>
      </c>
      <c r="B133" s="56" t="s">
        <v>434</v>
      </c>
      <c r="C133" s="57" t="s">
        <v>516</v>
      </c>
      <c r="D133" s="58" t="s">
        <v>435</v>
      </c>
    </row>
    <row r="134" spans="1:4" ht="28.2" x14ac:dyDescent="0.3">
      <c r="A134" s="56" t="s">
        <v>436</v>
      </c>
      <c r="B134" s="56" t="s">
        <v>437</v>
      </c>
      <c r="C134" s="57" t="s">
        <v>516</v>
      </c>
      <c r="D134" s="58" t="s">
        <v>438</v>
      </c>
    </row>
    <row r="135" spans="1:4" ht="207.6" x14ac:dyDescent="0.3">
      <c r="A135" s="56" t="s">
        <v>439</v>
      </c>
      <c r="B135" s="56" t="s">
        <v>440</v>
      </c>
      <c r="C135" s="57" t="s">
        <v>516</v>
      </c>
      <c r="D135" s="58" t="s">
        <v>441</v>
      </c>
    </row>
    <row r="136" spans="1:4" ht="42" x14ac:dyDescent="0.3">
      <c r="A136" s="56" t="s">
        <v>442</v>
      </c>
      <c r="B136" s="56" t="s">
        <v>443</v>
      </c>
      <c r="C136" s="57" t="s">
        <v>516</v>
      </c>
      <c r="D136" s="58" t="s">
        <v>444</v>
      </c>
    </row>
    <row r="137" spans="1:4" ht="69.599999999999994" x14ac:dyDescent="0.3">
      <c r="A137" s="56" t="s">
        <v>445</v>
      </c>
      <c r="B137" s="56" t="s">
        <v>446</v>
      </c>
      <c r="C137" s="57" t="s">
        <v>516</v>
      </c>
      <c r="D137" s="58" t="s">
        <v>447</v>
      </c>
    </row>
    <row r="138" spans="1:4" ht="69.599999999999994" x14ac:dyDescent="0.3">
      <c r="A138" s="56" t="s">
        <v>448</v>
      </c>
      <c r="B138" s="56" t="s">
        <v>449</v>
      </c>
      <c r="C138" s="57" t="s">
        <v>516</v>
      </c>
      <c r="D138" s="58" t="s">
        <v>450</v>
      </c>
    </row>
    <row r="139" spans="1:4" ht="28.2" x14ac:dyDescent="0.3">
      <c r="A139" s="56" t="s">
        <v>451</v>
      </c>
      <c r="B139" s="56" t="s">
        <v>452</v>
      </c>
      <c r="C139" s="57" t="s">
        <v>516</v>
      </c>
      <c r="D139" s="58" t="s">
        <v>453</v>
      </c>
    </row>
    <row r="140" spans="1:4" ht="55.2" x14ac:dyDescent="0.3">
      <c r="A140" s="56" t="s">
        <v>454</v>
      </c>
      <c r="B140" s="56" t="s">
        <v>455</v>
      </c>
      <c r="C140" s="57" t="s">
        <v>516</v>
      </c>
      <c r="D140" s="58" t="s">
        <v>456</v>
      </c>
    </row>
    <row r="141" spans="1:4" ht="42" x14ac:dyDescent="0.3">
      <c r="A141" s="56" t="s">
        <v>457</v>
      </c>
      <c r="B141" s="56" t="s">
        <v>624</v>
      </c>
      <c r="C141" s="57" t="s">
        <v>516</v>
      </c>
      <c r="D141" s="58" t="s">
        <v>625</v>
      </c>
    </row>
    <row r="142" spans="1:4" ht="55.8" x14ac:dyDescent="0.3">
      <c r="A142" s="56" t="s">
        <v>460</v>
      </c>
      <c r="B142" s="56" t="s">
        <v>461</v>
      </c>
      <c r="C142" s="57" t="s">
        <v>516</v>
      </c>
      <c r="D142" s="58" t="s">
        <v>462</v>
      </c>
    </row>
    <row r="143" spans="1:4" ht="55.8" x14ac:dyDescent="0.3">
      <c r="A143" s="56" t="s">
        <v>463</v>
      </c>
      <c r="B143" s="56" t="s">
        <v>464</v>
      </c>
      <c r="C143" s="57" t="s">
        <v>516</v>
      </c>
      <c r="D143" s="58" t="s">
        <v>465</v>
      </c>
    </row>
    <row r="144" spans="1:4" ht="69.599999999999994" x14ac:dyDescent="0.3">
      <c r="A144" s="56" t="s">
        <v>466</v>
      </c>
      <c r="B144" s="56" t="s">
        <v>467</v>
      </c>
      <c r="C144" s="57" t="s">
        <v>516</v>
      </c>
      <c r="D144" s="58" t="s">
        <v>468</v>
      </c>
    </row>
    <row r="145" spans="1:4" ht="42" x14ac:dyDescent="0.3">
      <c r="A145" s="56" t="s">
        <v>469</v>
      </c>
      <c r="B145" s="56" t="s">
        <v>626</v>
      </c>
      <c r="C145" s="57" t="s">
        <v>516</v>
      </c>
      <c r="D145" s="58" t="s">
        <v>627</v>
      </c>
    </row>
    <row r="146" spans="1:4" ht="69.599999999999994" x14ac:dyDescent="0.3">
      <c r="A146" s="56" t="s">
        <v>471</v>
      </c>
      <c r="B146" s="56" t="s">
        <v>628</v>
      </c>
      <c r="C146" s="57" t="s">
        <v>516</v>
      </c>
      <c r="D146" s="58" t="s">
        <v>629</v>
      </c>
    </row>
    <row r="147" spans="1:4" ht="28.2" x14ac:dyDescent="0.3">
      <c r="A147" s="56" t="s">
        <v>474</v>
      </c>
      <c r="B147" s="56" t="s">
        <v>475</v>
      </c>
      <c r="C147" s="57" t="s">
        <v>516</v>
      </c>
      <c r="D147" s="58" t="s">
        <v>476</v>
      </c>
    </row>
    <row r="148" spans="1:4" ht="41.4" x14ac:dyDescent="0.3">
      <c r="A148" s="56" t="s">
        <v>477</v>
      </c>
      <c r="B148" s="56" t="s">
        <v>630</v>
      </c>
      <c r="C148" s="60" t="s">
        <v>532</v>
      </c>
      <c r="D148" s="58" t="s">
        <v>631</v>
      </c>
    </row>
    <row r="149" spans="1:4" ht="82.8" x14ac:dyDescent="0.3">
      <c r="A149" s="56" t="s">
        <v>480</v>
      </c>
      <c r="B149" s="56" t="s">
        <v>481</v>
      </c>
      <c r="C149" s="57" t="s">
        <v>516</v>
      </c>
      <c r="D149" s="58" t="s">
        <v>482</v>
      </c>
    </row>
    <row r="150" spans="1:4" ht="42" x14ac:dyDescent="0.3">
      <c r="A150" s="56" t="s">
        <v>483</v>
      </c>
      <c r="B150" s="56" t="s">
        <v>484</v>
      </c>
      <c r="C150" s="57" t="s">
        <v>516</v>
      </c>
      <c r="D150" s="58" t="s">
        <v>485</v>
      </c>
    </row>
    <row r="151" spans="1:4" ht="97.2" x14ac:dyDescent="0.3">
      <c r="A151" s="56" t="s">
        <v>486</v>
      </c>
      <c r="B151" s="56" t="s">
        <v>632</v>
      </c>
      <c r="C151" s="57" t="s">
        <v>516</v>
      </c>
      <c r="D151" s="58" t="s">
        <v>633</v>
      </c>
    </row>
    <row r="152" spans="1:4" ht="42" x14ac:dyDescent="0.3">
      <c r="A152" s="56" t="s">
        <v>488</v>
      </c>
      <c r="B152" s="56" t="s">
        <v>634</v>
      </c>
      <c r="C152" s="60" t="s">
        <v>532</v>
      </c>
      <c r="D152" s="58" t="s">
        <v>490</v>
      </c>
    </row>
    <row r="153" spans="1:4" ht="83.4" x14ac:dyDescent="0.3">
      <c r="A153" s="56" t="s">
        <v>491</v>
      </c>
      <c r="B153" s="56" t="s">
        <v>492</v>
      </c>
      <c r="C153" s="57" t="s">
        <v>516</v>
      </c>
      <c r="D153" s="58" t="s">
        <v>493</v>
      </c>
    </row>
    <row r="154" spans="1:4" ht="55.8" x14ac:dyDescent="0.3">
      <c r="A154" s="56" t="s">
        <v>494</v>
      </c>
      <c r="B154" s="56" t="s">
        <v>409</v>
      </c>
      <c r="C154" s="57" t="s">
        <v>516</v>
      </c>
      <c r="D154" s="58" t="s">
        <v>495</v>
      </c>
    </row>
    <row r="155" spans="1:4" ht="55.2" x14ac:dyDescent="0.3">
      <c r="A155" s="56" t="s">
        <v>496</v>
      </c>
      <c r="B155" s="56" t="s">
        <v>497</v>
      </c>
      <c r="C155" s="57" t="s">
        <v>516</v>
      </c>
      <c r="D155" s="58" t="s">
        <v>498</v>
      </c>
    </row>
    <row r="156" spans="1:4" ht="55.8" x14ac:dyDescent="0.3">
      <c r="A156" s="56" t="s">
        <v>499</v>
      </c>
      <c r="B156" s="56" t="s">
        <v>500</v>
      </c>
      <c r="C156" s="57" t="s">
        <v>516</v>
      </c>
      <c r="D156" s="58" t="s">
        <v>501</v>
      </c>
    </row>
    <row r="157" spans="1:4" ht="83.4" x14ac:dyDescent="0.3">
      <c r="A157" s="56" t="s">
        <v>502</v>
      </c>
      <c r="B157" s="56" t="s">
        <v>503</v>
      </c>
      <c r="C157" s="57" t="s">
        <v>516</v>
      </c>
      <c r="D157" s="58" t="s">
        <v>504</v>
      </c>
    </row>
    <row r="158" spans="1:4" ht="55.8" x14ac:dyDescent="0.3">
      <c r="A158" s="56" t="s">
        <v>505</v>
      </c>
      <c r="B158" s="56" t="s">
        <v>506</v>
      </c>
      <c r="C158" s="57" t="s">
        <v>516</v>
      </c>
      <c r="D158" s="58" t="s">
        <v>507</v>
      </c>
    </row>
    <row r="159" spans="1:4" ht="28.2" x14ac:dyDescent="0.3">
      <c r="A159" s="56" t="s">
        <v>508</v>
      </c>
      <c r="B159" s="56" t="s">
        <v>509</v>
      </c>
      <c r="C159" s="57" t="s">
        <v>516</v>
      </c>
      <c r="D159" s="58" t="s">
        <v>635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22B4017CF2F8489B6EF31C4DAB3FAA" ma:contentTypeVersion="15" ma:contentTypeDescription="Create a new document." ma:contentTypeScope="" ma:versionID="26d89342b02946727beb655f7428a0b1">
  <xsd:schema xmlns:xsd="http://www.w3.org/2001/XMLSchema" xmlns:xs="http://www.w3.org/2001/XMLSchema" xmlns:p="http://schemas.microsoft.com/office/2006/metadata/properties" xmlns:ns2="41c719a2-3a48-4932-ab65-82633422fdad" xmlns:ns3="397c6fd8-318d-4199-b088-01d87bd3233f" targetNamespace="http://schemas.microsoft.com/office/2006/metadata/properties" ma:root="true" ma:fieldsID="4f99d1fcc4ea257dbc15bc6aa94fb5b7" ns2:_="" ns3:_="">
    <xsd:import namespace="41c719a2-3a48-4932-ab65-82633422fdad"/>
    <xsd:import namespace="397c6fd8-318d-4199-b088-01d87bd3233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c719a2-3a48-4932-ab65-82633422f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f8af7b2-08c1-46c4-aa72-e8019969a95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7c6fd8-318d-4199-b088-01d87bd3233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6dbce03-e254-43b2-bcf4-220d7a7126e7}" ma:internalName="TaxCatchAll" ma:showField="CatchAllData" ma:web="397c6fd8-318d-4199-b088-01d87bd323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97c6fd8-318d-4199-b088-01d87bd3233f" xsi:nil="true"/>
    <lcf76f155ced4ddcb4097134ff3c332f xmlns="41c719a2-3a48-4932-ab65-82633422fda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03E2AB-DF45-4475-B812-8981C48CA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c719a2-3a48-4932-ab65-82633422fdad"/>
    <ds:schemaRef ds:uri="397c6fd8-318d-4199-b088-01d87bd323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7A7723-D40C-49D8-A959-7F6A1245E114}">
  <ds:schemaRefs>
    <ds:schemaRef ds:uri="http://schemas.microsoft.com/office/2006/metadata/properties"/>
    <ds:schemaRef ds:uri="http://schemas.microsoft.com/office/infopath/2007/PartnerControls"/>
    <ds:schemaRef ds:uri="397c6fd8-318d-4199-b088-01d87bd3233f"/>
    <ds:schemaRef ds:uri="41c719a2-3a48-4932-ab65-82633422fdad"/>
  </ds:schemaRefs>
</ds:datastoreItem>
</file>

<file path=customXml/itemProps3.xml><?xml version="1.0" encoding="utf-8"?>
<ds:datastoreItem xmlns:ds="http://schemas.openxmlformats.org/officeDocument/2006/customXml" ds:itemID="{2947871B-2C91-4D31-926F-4A7C2FBA346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Identifikasi</vt:lpstr>
      <vt:lpstr>LIST ALTO</vt:lpstr>
      <vt:lpstr>Country List</vt:lpstr>
      <vt:lpstr>Country List Updated March 2026</vt:lpstr>
      <vt:lpstr>'1. Identifikasi'!Print_Area</vt:lpstr>
    </vt:vector>
  </TitlesOfParts>
  <Manager/>
  <Company>Xynexis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Santun Gunadi</dc:creator>
  <cp:keywords/>
  <dc:description/>
  <cp:lastModifiedBy>Santun Gunadi</cp:lastModifiedBy>
  <cp:revision/>
  <dcterms:created xsi:type="dcterms:W3CDTF">2021-02-18T15:11:41Z</dcterms:created>
  <dcterms:modified xsi:type="dcterms:W3CDTF">2026-03-16T04:10:06Z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0x010100BB22B4017CF2F8489B6EF31C4DAB3FAA</vt:lpwstr>
  </property>
  <property fmtid="{D5CDD505-2E9C-101B-9397-08002B2CF9AE}" pid="3" name="MediaServiceImageTags">
    <vt:lpwstr/>
  </property>
</Properties>
</file>